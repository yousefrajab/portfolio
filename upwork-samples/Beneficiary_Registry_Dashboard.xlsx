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gistry" sheetId="2" state="visible" r:id="rId4"/>
    <sheet name="Lists" sheetId="3" state="visible" r:id="rId5"/>
  </sheets>
  <definedNames>
    <definedName function="false" hidden="false" localSheetId="0" name="_xlnm.Print_Area" vbProcedure="false">Dashboard!$A$1:$U$31</definedName>
    <definedName function="false" hidden="false" localSheetId="1" name="_xlnm.Print_Titles" vbProcedure="false">Registry!$1:$1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<sst xmlns="http://schemas.openxmlformats.org/spreadsheetml/2006/main" count="2165" uniqueCount="887">
  <si>
    <t xml:space="preserve">Shelter Camps – Beneficiary Registry Dashboard</t>
  </si>
  <si>
    <t xml:space="preserve">Sample portfolio file – all names, phone numbers and figures are fictional. Updates automatically from the Registry sheet.</t>
  </si>
  <si>
    <t xml:space="preserve">Families registered</t>
  </si>
  <si>
    <t xml:space="preserve">Individuals</t>
  </si>
  <si>
    <t xml:space="preserve">Avg. family size</t>
  </si>
  <si>
    <t xml:space="preserve">High-priority families</t>
  </si>
  <si>
    <t xml:space="preserve">Children under 5</t>
  </si>
  <si>
    <t xml:space="preserve">Verified records</t>
  </si>
  <si>
    <t xml:space="preserve">Breakdown by camp</t>
  </si>
  <si>
    <t xml:space="preserve">Camp</t>
  </si>
  <si>
    <t xml:space="preserve">Families</t>
  </si>
  <si>
    <t xml:space="preserve">High priority</t>
  </si>
  <si>
    <t xml:space="preserve">Children &lt;5</t>
  </si>
  <si>
    <t xml:space="preserve">Verified %</t>
  </si>
  <si>
    <t xml:space="preserve">Al-Amal</t>
  </si>
  <si>
    <t xml:space="preserve">Al-Noor</t>
  </si>
  <si>
    <t xml:space="preserve">Al-Fajr</t>
  </si>
  <si>
    <t xml:space="preserve">Al-Rahma</t>
  </si>
  <si>
    <t xml:space="preserve">Al-Wafa</t>
  </si>
  <si>
    <t xml:space="preserve">Total</t>
  </si>
  <si>
    <t xml:space="preserve">Priority distribution</t>
  </si>
  <si>
    <t xml:space="preserve">Priority</t>
  </si>
  <si>
    <t xml:space="preserve">Share</t>
  </si>
  <si>
    <t xml:space="preserve">High</t>
  </si>
  <si>
    <t xml:space="preserve">Medium</t>
  </si>
  <si>
    <t xml:space="preserve">Low</t>
  </si>
  <si>
    <t xml:space="preserve">How the score works</t>
  </si>
  <si>
    <t xml:space="preserve">Vulnerability score (0–10) = children under 5 + elderly 60+ + 2 × persons with disability</t>
  </si>
  <si>
    <t xml:space="preserve">+1 if female-headed household, +1 if family size 5–6 (+2 if 7+), +1 if living in a tent.</t>
  </si>
  <si>
    <t xml:space="preserve">Priority: High = 6+, Medium = 3–5, Low = 0–2. Change any row in Registry and every figure updates.</t>
  </si>
  <si>
    <t xml:space="preserve">Family ID</t>
  </si>
  <si>
    <t xml:space="preserve">Head of Household</t>
  </si>
  <si>
    <t xml:space="preserve">Gender</t>
  </si>
  <si>
    <t xml:space="preserve">Age</t>
  </si>
  <si>
    <t xml:space="preserve">Shelter Type</t>
  </si>
  <si>
    <t xml:space="preserve">Family Size</t>
  </si>
  <si>
    <t xml:space="preserve">Elderly 60+</t>
  </si>
  <si>
    <t xml:space="preserve">Persons w/ Disability</t>
  </si>
  <si>
    <t xml:space="preserve">Phone</t>
  </si>
  <si>
    <t xml:space="preserve">Registration Date</t>
  </si>
  <si>
    <t xml:space="preserve">Status</t>
  </si>
  <si>
    <t xml:space="preserve">Vulnerability Score</t>
  </si>
  <si>
    <t xml:space="preserve">FAM-1001</t>
  </si>
  <si>
    <t xml:space="preserve">Ahmad Darwish</t>
  </si>
  <si>
    <t xml:space="preserve">Male</t>
  </si>
  <si>
    <t xml:space="preserve">Tent</t>
  </si>
  <si>
    <t xml:space="preserve">0598-189-704</t>
  </si>
  <si>
    <t xml:space="preserve">Verified</t>
  </si>
  <si>
    <t xml:space="preserve">FAM-1002</t>
  </si>
  <si>
    <t xml:space="preserve">Saleh Barakat</t>
  </si>
  <si>
    <t xml:space="preserve">Shared hall</t>
  </si>
  <si>
    <t xml:space="preserve">0594-928-990</t>
  </si>
  <si>
    <t xml:space="preserve">FAM-1003</t>
  </si>
  <si>
    <t xml:space="preserve">Salma Khalil</t>
  </si>
  <si>
    <t xml:space="preserve">Female</t>
  </si>
  <si>
    <t xml:space="preserve">Damaged house</t>
  </si>
  <si>
    <t xml:space="preserve">0594-926-144</t>
  </si>
  <si>
    <t xml:space="preserve">FAM-1004</t>
  </si>
  <si>
    <t xml:space="preserve">Wael Zaqout</t>
  </si>
  <si>
    <t xml:space="preserve">0594-181-975</t>
  </si>
  <si>
    <t xml:space="preserve">FAM-1005</t>
  </si>
  <si>
    <t xml:space="preserve">Ibrahim Zaqout</t>
  </si>
  <si>
    <t xml:space="preserve">0591-723-750</t>
  </si>
  <si>
    <t xml:space="preserve">FAM-1006</t>
  </si>
  <si>
    <t xml:space="preserve">Saleh Shaheen</t>
  </si>
  <si>
    <t xml:space="preserve">0590-924-423</t>
  </si>
  <si>
    <t xml:space="preserve">Pending update</t>
  </si>
  <si>
    <t xml:space="preserve">FAM-1007</t>
  </si>
  <si>
    <t xml:space="preserve">Nader Barakat</t>
  </si>
  <si>
    <t xml:space="preserve">0594-242-352</t>
  </si>
  <si>
    <t xml:space="preserve">FAM-1008</t>
  </si>
  <si>
    <t xml:space="preserve">Bilal Shaheen</t>
  </si>
  <si>
    <t xml:space="preserve">Caravan</t>
  </si>
  <si>
    <t xml:space="preserve">0591-256-742</t>
  </si>
  <si>
    <t xml:space="preserve">FAM-1009</t>
  </si>
  <si>
    <t xml:space="preserve">Ziad Salem</t>
  </si>
  <si>
    <t xml:space="preserve">0591-798-649</t>
  </si>
  <si>
    <t xml:space="preserve">FAM-1010</t>
  </si>
  <si>
    <t xml:space="preserve">Tariq Salem</t>
  </si>
  <si>
    <t xml:space="preserve">0598-723-303</t>
  </si>
  <si>
    <t xml:space="preserve">Registered</t>
  </si>
  <si>
    <t xml:space="preserve">FAM-1011</t>
  </si>
  <si>
    <t xml:space="preserve">Ahmad Matar</t>
  </si>
  <si>
    <t xml:space="preserve">0594-345-159</t>
  </si>
  <si>
    <t xml:space="preserve">FAM-1012</t>
  </si>
  <si>
    <t xml:space="preserve">Khaled Najjar</t>
  </si>
  <si>
    <t xml:space="preserve">0594-640-993</t>
  </si>
  <si>
    <t xml:space="preserve">FAM-1013</t>
  </si>
  <si>
    <t xml:space="preserve">Hasan Abed</t>
  </si>
  <si>
    <t xml:space="preserve">0591-353-330</t>
  </si>
  <si>
    <t xml:space="preserve">FAM-1014</t>
  </si>
  <si>
    <t xml:space="preserve">Mariam Odeh</t>
  </si>
  <si>
    <t xml:space="preserve">0593-385-785</t>
  </si>
  <si>
    <t xml:space="preserve">FAM-1015</t>
  </si>
  <si>
    <t xml:space="preserve">Amjad Shaheen</t>
  </si>
  <si>
    <t xml:space="preserve">0596-462-533</t>
  </si>
  <si>
    <t xml:space="preserve">FAM-1016</t>
  </si>
  <si>
    <t xml:space="preserve">Rana Khalil</t>
  </si>
  <si>
    <t xml:space="preserve">0592-532-287</t>
  </si>
  <si>
    <t xml:space="preserve">FAM-1017</t>
  </si>
  <si>
    <t xml:space="preserve">Saleh Saleh</t>
  </si>
  <si>
    <t xml:space="preserve">0593-270-516</t>
  </si>
  <si>
    <t xml:space="preserve">FAM-1018</t>
  </si>
  <si>
    <t xml:space="preserve">Fatima Abed</t>
  </si>
  <si>
    <t xml:space="preserve">0598-777-835</t>
  </si>
  <si>
    <t xml:space="preserve">FAM-1019</t>
  </si>
  <si>
    <t xml:space="preserve">Saleh Odeh</t>
  </si>
  <si>
    <t xml:space="preserve">0598-261-158</t>
  </si>
  <si>
    <t xml:space="preserve">FAM-1020</t>
  </si>
  <si>
    <t xml:space="preserve">Fadi Saleh</t>
  </si>
  <si>
    <t xml:space="preserve">0591-529-773</t>
  </si>
  <si>
    <t xml:space="preserve">FAM-1021</t>
  </si>
  <si>
    <t xml:space="preserve">Nader Shaheen</t>
  </si>
  <si>
    <t xml:space="preserve">0591-109-569</t>
  </si>
  <si>
    <t xml:space="preserve">FAM-1022</t>
  </si>
  <si>
    <t xml:space="preserve">Aya Zaqout</t>
  </si>
  <si>
    <t xml:space="preserve">0598-820-409</t>
  </si>
  <si>
    <t xml:space="preserve">FAM-1023</t>
  </si>
  <si>
    <t xml:space="preserve">Omar Hamdan</t>
  </si>
  <si>
    <t xml:space="preserve">0594-719-315</t>
  </si>
  <si>
    <t xml:space="preserve">FAM-1024</t>
  </si>
  <si>
    <t xml:space="preserve">Mohammed Nasser</t>
  </si>
  <si>
    <t xml:space="preserve">0592-752-368</t>
  </si>
  <si>
    <t xml:space="preserve">FAM-1025</t>
  </si>
  <si>
    <t xml:space="preserve">Mariam Hamdan</t>
  </si>
  <si>
    <t xml:space="preserve">0592-142-415</t>
  </si>
  <si>
    <t xml:space="preserve">FAM-1026</t>
  </si>
  <si>
    <t xml:space="preserve">Mariam Zaqout</t>
  </si>
  <si>
    <t xml:space="preserve">0592-342-985</t>
  </si>
  <si>
    <t xml:space="preserve">FAM-1027</t>
  </si>
  <si>
    <t xml:space="preserve">Nader Haddad</t>
  </si>
  <si>
    <t xml:space="preserve">0591-491-993</t>
  </si>
  <si>
    <t xml:space="preserve">FAM-1028</t>
  </si>
  <si>
    <t xml:space="preserve">Hasan Shaheen</t>
  </si>
  <si>
    <t xml:space="preserve">0591-891-385</t>
  </si>
  <si>
    <t xml:space="preserve">FAM-1029</t>
  </si>
  <si>
    <t xml:space="preserve">Ahmad Saleh</t>
  </si>
  <si>
    <t xml:space="preserve">0590-211-710</t>
  </si>
  <si>
    <t xml:space="preserve">FAM-1030</t>
  </si>
  <si>
    <t xml:space="preserve">Aya Hilles</t>
  </si>
  <si>
    <t xml:space="preserve">0598-803-836</t>
  </si>
  <si>
    <t xml:space="preserve">FAM-1031</t>
  </si>
  <si>
    <t xml:space="preserve">Nader Saleh</t>
  </si>
  <si>
    <t xml:space="preserve">0596-813-402</t>
  </si>
  <si>
    <t xml:space="preserve">FAM-1032</t>
  </si>
  <si>
    <t xml:space="preserve">Ibrahim Matar</t>
  </si>
  <si>
    <t xml:space="preserve">0593-540-904</t>
  </si>
  <si>
    <t xml:space="preserve">FAM-1033</t>
  </si>
  <si>
    <t xml:space="preserve">Lina Qasem</t>
  </si>
  <si>
    <t xml:space="preserve">0591-938-869</t>
  </si>
  <si>
    <t xml:space="preserve">FAM-1034</t>
  </si>
  <si>
    <t xml:space="preserve">Amal Awad</t>
  </si>
  <si>
    <t xml:space="preserve">0599-299-835</t>
  </si>
  <si>
    <t xml:space="preserve">FAM-1035</t>
  </si>
  <si>
    <t xml:space="preserve">Salma Saleh</t>
  </si>
  <si>
    <t xml:space="preserve">0597-151-670</t>
  </si>
  <si>
    <t xml:space="preserve">FAM-1036</t>
  </si>
  <si>
    <t xml:space="preserve">Saleh Matar</t>
  </si>
  <si>
    <t xml:space="preserve">0598-536-950</t>
  </si>
  <si>
    <t xml:space="preserve">FAM-1037</t>
  </si>
  <si>
    <t xml:space="preserve">Amal Darwish</t>
  </si>
  <si>
    <t xml:space="preserve">0591-830-392</t>
  </si>
  <si>
    <t xml:space="preserve">FAM-1038</t>
  </si>
  <si>
    <t xml:space="preserve">Amal Abed</t>
  </si>
  <si>
    <t xml:space="preserve">0598-577-525</t>
  </si>
  <si>
    <t xml:space="preserve">FAM-1039</t>
  </si>
  <si>
    <t xml:space="preserve">Ahmad Hilles</t>
  </si>
  <si>
    <t xml:space="preserve">0596-651-865</t>
  </si>
  <si>
    <t xml:space="preserve">FAM-1040</t>
  </si>
  <si>
    <t xml:space="preserve">Lina Hassan</t>
  </si>
  <si>
    <t xml:space="preserve">0597-230-737</t>
  </si>
  <si>
    <t xml:space="preserve">FAM-1041</t>
  </si>
  <si>
    <t xml:space="preserve">Rana Hamdan</t>
  </si>
  <si>
    <t xml:space="preserve">0597-434-445</t>
  </si>
  <si>
    <t xml:space="preserve">FAM-1042</t>
  </si>
  <si>
    <t xml:space="preserve">Asma Odeh</t>
  </si>
  <si>
    <t xml:space="preserve">0590-872-131</t>
  </si>
  <si>
    <t xml:space="preserve">FAM-1043</t>
  </si>
  <si>
    <t xml:space="preserve">Omar Hilles</t>
  </si>
  <si>
    <t xml:space="preserve">0599-721-865</t>
  </si>
  <si>
    <t xml:space="preserve">FAM-1044</t>
  </si>
  <si>
    <t xml:space="preserve">Noor Hilles</t>
  </si>
  <si>
    <t xml:space="preserve">0591-706-807</t>
  </si>
  <si>
    <t xml:space="preserve">FAM-1045</t>
  </si>
  <si>
    <t xml:space="preserve">Hiba Odeh</t>
  </si>
  <si>
    <t xml:space="preserve">0595-112-969</t>
  </si>
  <si>
    <t xml:space="preserve">FAM-1046</t>
  </si>
  <si>
    <t xml:space="preserve">Ziad Hamdan</t>
  </si>
  <si>
    <t xml:space="preserve">0598-893-595</t>
  </si>
  <si>
    <t xml:space="preserve">FAM-1047</t>
  </si>
  <si>
    <t xml:space="preserve">Khaled Darwish</t>
  </si>
  <si>
    <t xml:space="preserve">0596-444-129</t>
  </si>
  <si>
    <t xml:space="preserve">FAM-1048</t>
  </si>
  <si>
    <t xml:space="preserve">Nader Darwish</t>
  </si>
  <si>
    <t xml:space="preserve">0593-187-347</t>
  </si>
  <si>
    <t xml:space="preserve">FAM-1049</t>
  </si>
  <si>
    <t xml:space="preserve">Amjad Yaseen</t>
  </si>
  <si>
    <t xml:space="preserve">0594-779-695</t>
  </si>
  <si>
    <t xml:space="preserve">FAM-1050</t>
  </si>
  <si>
    <t xml:space="preserve">Nader Zaqout</t>
  </si>
  <si>
    <t xml:space="preserve">0593-423-222</t>
  </si>
  <si>
    <t xml:space="preserve">FAM-1051</t>
  </si>
  <si>
    <t xml:space="preserve">Hiba Salem</t>
  </si>
  <si>
    <t xml:space="preserve">0595-283-409</t>
  </si>
  <si>
    <t xml:space="preserve">FAM-1052</t>
  </si>
  <si>
    <t xml:space="preserve">Noor Hamdan</t>
  </si>
  <si>
    <t xml:space="preserve">0594-580-590</t>
  </si>
  <si>
    <t xml:space="preserve">FAM-1053</t>
  </si>
  <si>
    <t xml:space="preserve">Omar Nasser</t>
  </si>
  <si>
    <t xml:space="preserve">0592-930-676</t>
  </si>
  <si>
    <t xml:space="preserve">FAM-1054</t>
  </si>
  <si>
    <t xml:space="preserve">Wael Shaheen</t>
  </si>
  <si>
    <t xml:space="preserve">0599-539-412</t>
  </si>
  <si>
    <t xml:space="preserve">FAM-1055</t>
  </si>
  <si>
    <t xml:space="preserve">Mahmoud Barakat</t>
  </si>
  <si>
    <t xml:space="preserve">0592-102-518</t>
  </si>
  <si>
    <t xml:space="preserve">FAM-1056</t>
  </si>
  <si>
    <t xml:space="preserve">Hasan Yaseen</t>
  </si>
  <si>
    <t xml:space="preserve">0599-777-923</t>
  </si>
  <si>
    <t xml:space="preserve">FAM-1057</t>
  </si>
  <si>
    <t xml:space="preserve">Yahya Nasser</t>
  </si>
  <si>
    <t xml:space="preserve">0594-549-227</t>
  </si>
  <si>
    <t xml:space="preserve">FAM-1058</t>
  </si>
  <si>
    <t xml:space="preserve">0594-126-193</t>
  </si>
  <si>
    <t xml:space="preserve">FAM-1059</t>
  </si>
  <si>
    <t xml:space="preserve">Tariq Hilles</t>
  </si>
  <si>
    <t xml:space="preserve">0594-285-699</t>
  </si>
  <si>
    <t xml:space="preserve">FAM-1060</t>
  </si>
  <si>
    <t xml:space="preserve">0596-933-878</t>
  </si>
  <si>
    <t xml:space="preserve">FAM-1061</t>
  </si>
  <si>
    <t xml:space="preserve">Salma Abed</t>
  </si>
  <si>
    <t xml:space="preserve">0597-523-155</t>
  </si>
  <si>
    <t xml:space="preserve">FAM-1062</t>
  </si>
  <si>
    <t xml:space="preserve">Mohammed Barakat</t>
  </si>
  <si>
    <t xml:space="preserve">0597-224-129</t>
  </si>
  <si>
    <t xml:space="preserve">FAM-1063</t>
  </si>
  <si>
    <t xml:space="preserve">Rana Nasser</t>
  </si>
  <si>
    <t xml:space="preserve">0592-610-833</t>
  </si>
  <si>
    <t xml:space="preserve">FAM-1064</t>
  </si>
  <si>
    <t xml:space="preserve">Ziad Najjar</t>
  </si>
  <si>
    <t xml:space="preserve">0592-984-171</t>
  </si>
  <si>
    <t xml:space="preserve">FAM-1065</t>
  </si>
  <si>
    <t xml:space="preserve">Fatima Mansour</t>
  </si>
  <si>
    <t xml:space="preserve">0592-557-651</t>
  </si>
  <si>
    <t xml:space="preserve">FAM-1066</t>
  </si>
  <si>
    <t xml:space="preserve">0596-144-425</t>
  </si>
  <si>
    <t xml:space="preserve">FAM-1067</t>
  </si>
  <si>
    <t xml:space="preserve">Yahya Awad</t>
  </si>
  <si>
    <t xml:space="preserve">0591-995-965</t>
  </si>
  <si>
    <t xml:space="preserve">FAM-1068</t>
  </si>
  <si>
    <t xml:space="preserve">Reem Hamdan</t>
  </si>
  <si>
    <t xml:space="preserve">0596-765-182</t>
  </si>
  <si>
    <t xml:space="preserve">FAM-1069</t>
  </si>
  <si>
    <t xml:space="preserve">Amjad Najjar</t>
  </si>
  <si>
    <t xml:space="preserve">0593-864-192</t>
  </si>
  <si>
    <t xml:space="preserve">FAM-1070</t>
  </si>
  <si>
    <t xml:space="preserve">Mohammed Khalil</t>
  </si>
  <si>
    <t xml:space="preserve">0598-521-679</t>
  </si>
  <si>
    <t xml:space="preserve">FAM-1071</t>
  </si>
  <si>
    <t xml:space="preserve">Sami Awad</t>
  </si>
  <si>
    <t xml:space="preserve">0594-782-109</t>
  </si>
  <si>
    <t xml:space="preserve">FAM-1072</t>
  </si>
  <si>
    <t xml:space="preserve">Bilal Hilles</t>
  </si>
  <si>
    <t xml:space="preserve">0594-303-493</t>
  </si>
  <si>
    <t xml:space="preserve">FAM-1073</t>
  </si>
  <si>
    <t xml:space="preserve">Hasan Hassan</t>
  </si>
  <si>
    <t xml:space="preserve">0590-720-863</t>
  </si>
  <si>
    <t xml:space="preserve">FAM-1074</t>
  </si>
  <si>
    <t xml:space="preserve">Sami Barakat</t>
  </si>
  <si>
    <t xml:space="preserve">0592-743-199</t>
  </si>
  <si>
    <t xml:space="preserve">FAM-1075</t>
  </si>
  <si>
    <t xml:space="preserve">Aya Mansour</t>
  </si>
  <si>
    <t xml:space="preserve">0595-643-613</t>
  </si>
  <si>
    <t xml:space="preserve">FAM-1076</t>
  </si>
  <si>
    <t xml:space="preserve">Hasan Khalil</t>
  </si>
  <si>
    <t xml:space="preserve">0593-980-792</t>
  </si>
  <si>
    <t xml:space="preserve">FAM-1077</t>
  </si>
  <si>
    <t xml:space="preserve">Asma Saleh</t>
  </si>
  <si>
    <t xml:space="preserve">0595-210-791</t>
  </si>
  <si>
    <t xml:space="preserve">FAM-1078</t>
  </si>
  <si>
    <t xml:space="preserve">0596-219-243</t>
  </si>
  <si>
    <t xml:space="preserve">FAM-1079</t>
  </si>
  <si>
    <t xml:space="preserve">Asma Hamdan</t>
  </si>
  <si>
    <t xml:space="preserve">0598-529-701</t>
  </si>
  <si>
    <t xml:space="preserve">FAM-1080</t>
  </si>
  <si>
    <t xml:space="preserve">Tariq Odeh</t>
  </si>
  <si>
    <t xml:space="preserve">0595-201-802</t>
  </si>
  <si>
    <t xml:space="preserve">FAM-1081</t>
  </si>
  <si>
    <t xml:space="preserve">Ziad Nasser</t>
  </si>
  <si>
    <t xml:space="preserve">0595-349-228</t>
  </si>
  <si>
    <t xml:space="preserve">FAM-1082</t>
  </si>
  <si>
    <t xml:space="preserve">Sami Khalil</t>
  </si>
  <si>
    <t xml:space="preserve">0592-233-653</t>
  </si>
  <si>
    <t xml:space="preserve">FAM-1083</t>
  </si>
  <si>
    <t xml:space="preserve">Samar Shaheen</t>
  </si>
  <si>
    <t xml:space="preserve">0596-638-216</t>
  </si>
  <si>
    <t xml:space="preserve">FAM-1084</t>
  </si>
  <si>
    <t xml:space="preserve">Asma Shaheen</t>
  </si>
  <si>
    <t xml:space="preserve">0598-408-569</t>
  </si>
  <si>
    <t xml:space="preserve">FAM-1085</t>
  </si>
  <si>
    <t xml:space="preserve">Dina Yaseen</t>
  </si>
  <si>
    <t xml:space="preserve">0594-739-748</t>
  </si>
  <si>
    <t xml:space="preserve">FAM-1086</t>
  </si>
  <si>
    <t xml:space="preserve">Jamal Matar</t>
  </si>
  <si>
    <t xml:space="preserve">0598-838-986</t>
  </si>
  <si>
    <t xml:space="preserve">FAM-1087</t>
  </si>
  <si>
    <t xml:space="preserve">Fadi Haddad</t>
  </si>
  <si>
    <t xml:space="preserve">0592-803-585</t>
  </si>
  <si>
    <t xml:space="preserve">FAM-1088</t>
  </si>
  <si>
    <t xml:space="preserve">Yahya Najjar</t>
  </si>
  <si>
    <t xml:space="preserve">0596-462-994</t>
  </si>
  <si>
    <t xml:space="preserve">FAM-1089</t>
  </si>
  <si>
    <t xml:space="preserve">Hani Salem</t>
  </si>
  <si>
    <t xml:space="preserve">0598-476-217</t>
  </si>
  <si>
    <t xml:space="preserve">FAM-1090</t>
  </si>
  <si>
    <t xml:space="preserve">Wael Matar</t>
  </si>
  <si>
    <t xml:space="preserve">0594-129-284</t>
  </si>
  <si>
    <t xml:space="preserve">FAM-1091</t>
  </si>
  <si>
    <t xml:space="preserve">Huda Hilles</t>
  </si>
  <si>
    <t xml:space="preserve">0591-864-643</t>
  </si>
  <si>
    <t xml:space="preserve">FAM-1092</t>
  </si>
  <si>
    <t xml:space="preserve">Nader Hilles</t>
  </si>
  <si>
    <t xml:space="preserve">0590-790-183</t>
  </si>
  <si>
    <t xml:space="preserve">FAM-1093</t>
  </si>
  <si>
    <t xml:space="preserve">Salma Salem</t>
  </si>
  <si>
    <t xml:space="preserve">0597-639-783</t>
  </si>
  <si>
    <t xml:space="preserve">FAM-1094</t>
  </si>
  <si>
    <t xml:space="preserve">Noor Barakat</t>
  </si>
  <si>
    <t xml:space="preserve">0597-864-540</t>
  </si>
  <si>
    <t xml:space="preserve">FAM-1095</t>
  </si>
  <si>
    <t xml:space="preserve">Bilal Nasser</t>
  </si>
  <si>
    <t xml:space="preserve">0591-982-420</t>
  </si>
  <si>
    <t xml:space="preserve">FAM-1096</t>
  </si>
  <si>
    <t xml:space="preserve">Fadi Hassan</t>
  </si>
  <si>
    <t xml:space="preserve">0595-190-547</t>
  </si>
  <si>
    <t xml:space="preserve">FAM-1097</t>
  </si>
  <si>
    <t xml:space="preserve">0598-622-298</t>
  </si>
  <si>
    <t xml:space="preserve">FAM-1098</t>
  </si>
  <si>
    <t xml:space="preserve">Hiba Hamdan</t>
  </si>
  <si>
    <t xml:space="preserve">0597-575-872</t>
  </si>
  <si>
    <t xml:space="preserve">FAM-1099</t>
  </si>
  <si>
    <t xml:space="preserve">Wael Khalil</t>
  </si>
  <si>
    <t xml:space="preserve">0597-746-410</t>
  </si>
  <si>
    <t xml:space="preserve">FAM-1100</t>
  </si>
  <si>
    <t xml:space="preserve">Mohammed Odeh</t>
  </si>
  <si>
    <t xml:space="preserve">0591-729-708</t>
  </si>
  <si>
    <t xml:space="preserve">FAM-1101</t>
  </si>
  <si>
    <t xml:space="preserve">Mohammed Yaseen</t>
  </si>
  <si>
    <t xml:space="preserve">0598-254-163</t>
  </si>
  <si>
    <t xml:space="preserve">FAM-1102</t>
  </si>
  <si>
    <t xml:space="preserve">Mohammed Shaheen</t>
  </si>
  <si>
    <t xml:space="preserve">0595-481-389</t>
  </si>
  <si>
    <t xml:space="preserve">FAM-1103</t>
  </si>
  <si>
    <t xml:space="preserve">Nader Nasser</t>
  </si>
  <si>
    <t xml:space="preserve">0599-994-253</t>
  </si>
  <si>
    <t xml:space="preserve">FAM-1104</t>
  </si>
  <si>
    <t xml:space="preserve">Fadi Hamdan</t>
  </si>
  <si>
    <t xml:space="preserve">0595-932-230</t>
  </si>
  <si>
    <t xml:space="preserve">FAM-1105</t>
  </si>
  <si>
    <t xml:space="preserve">Mahmoud Khalil</t>
  </si>
  <si>
    <t xml:space="preserve">0591-402-964</t>
  </si>
  <si>
    <t xml:space="preserve">FAM-1106</t>
  </si>
  <si>
    <t xml:space="preserve">Samar Matar</t>
  </si>
  <si>
    <t xml:space="preserve">0599-928-269</t>
  </si>
  <si>
    <t xml:space="preserve">FAM-1107</t>
  </si>
  <si>
    <t xml:space="preserve">Wael Mansour</t>
  </si>
  <si>
    <t xml:space="preserve">0597-955-298</t>
  </si>
  <si>
    <t xml:space="preserve">FAM-1108</t>
  </si>
  <si>
    <t xml:space="preserve">Fadi Salem</t>
  </si>
  <si>
    <t xml:space="preserve">0592-993-356</t>
  </si>
  <si>
    <t xml:space="preserve">FAM-1109</t>
  </si>
  <si>
    <t xml:space="preserve">Reem Salem</t>
  </si>
  <si>
    <t xml:space="preserve">0598-250-950</t>
  </si>
  <si>
    <t xml:space="preserve">FAM-1110</t>
  </si>
  <si>
    <t xml:space="preserve">Rami Odeh</t>
  </si>
  <si>
    <t xml:space="preserve">0593-128-426</t>
  </si>
  <si>
    <t xml:space="preserve">FAM-1111</t>
  </si>
  <si>
    <t xml:space="preserve">Amjad Hamdan</t>
  </si>
  <si>
    <t xml:space="preserve">0590-362-320</t>
  </si>
  <si>
    <t xml:space="preserve">FAM-1112</t>
  </si>
  <si>
    <t xml:space="preserve">Hasan Saleh</t>
  </si>
  <si>
    <t xml:space="preserve">0591-956-611</t>
  </si>
  <si>
    <t xml:space="preserve">FAM-1113</t>
  </si>
  <si>
    <t xml:space="preserve">Hasan Haddad</t>
  </si>
  <si>
    <t xml:space="preserve">0592-780-784</t>
  </si>
  <si>
    <t xml:space="preserve">FAM-1114</t>
  </si>
  <si>
    <t xml:space="preserve">Jamal Najjar</t>
  </si>
  <si>
    <t xml:space="preserve">0596-482-359</t>
  </si>
  <si>
    <t xml:space="preserve">FAM-1115</t>
  </si>
  <si>
    <t xml:space="preserve">Hani Khalil</t>
  </si>
  <si>
    <t xml:space="preserve">0597-812-590</t>
  </si>
  <si>
    <t xml:space="preserve">FAM-1116</t>
  </si>
  <si>
    <t xml:space="preserve">Hasan Barakat</t>
  </si>
  <si>
    <t xml:space="preserve">0598-507-934</t>
  </si>
  <si>
    <t xml:space="preserve">FAM-1117</t>
  </si>
  <si>
    <t xml:space="preserve">0597-495-447</t>
  </si>
  <si>
    <t xml:space="preserve">FAM-1118</t>
  </si>
  <si>
    <t xml:space="preserve">Mariam Haddad</t>
  </si>
  <si>
    <t xml:space="preserve">0595-205-181</t>
  </si>
  <si>
    <t xml:space="preserve">FAM-1119</t>
  </si>
  <si>
    <t xml:space="preserve">Ziad Zaqout</t>
  </si>
  <si>
    <t xml:space="preserve">0596-381-754</t>
  </si>
  <si>
    <t xml:space="preserve">FAM-1120</t>
  </si>
  <si>
    <t xml:space="preserve">Ahmad Hamdan</t>
  </si>
  <si>
    <t xml:space="preserve">0593-897-760</t>
  </si>
  <si>
    <t xml:space="preserve">FAM-1121</t>
  </si>
  <si>
    <t xml:space="preserve">Lina Zaqout</t>
  </si>
  <si>
    <t xml:space="preserve">0596-421-765</t>
  </si>
  <si>
    <t xml:space="preserve">FAM-1122</t>
  </si>
  <si>
    <t xml:space="preserve">0594-810-602</t>
  </si>
  <si>
    <t xml:space="preserve">FAM-1123</t>
  </si>
  <si>
    <t xml:space="preserve">0591-663-655</t>
  </si>
  <si>
    <t xml:space="preserve">FAM-1124</t>
  </si>
  <si>
    <t xml:space="preserve">0597-126-469</t>
  </si>
  <si>
    <t xml:space="preserve">FAM-1125</t>
  </si>
  <si>
    <t xml:space="preserve">Aya Nasser</t>
  </si>
  <si>
    <t xml:space="preserve">0596-887-519</t>
  </si>
  <si>
    <t xml:space="preserve">FAM-1126</t>
  </si>
  <si>
    <t xml:space="preserve">Jamal Zaqout</t>
  </si>
  <si>
    <t xml:space="preserve">0592-543-614</t>
  </si>
  <si>
    <t xml:space="preserve">FAM-1127</t>
  </si>
  <si>
    <t xml:space="preserve">Aya Shaheen</t>
  </si>
  <si>
    <t xml:space="preserve">0594-301-750</t>
  </si>
  <si>
    <t xml:space="preserve">FAM-1128</t>
  </si>
  <si>
    <t xml:space="preserve">Iman Qasem</t>
  </si>
  <si>
    <t xml:space="preserve">0599-445-962</t>
  </si>
  <si>
    <t xml:space="preserve">FAM-1129</t>
  </si>
  <si>
    <t xml:space="preserve">Tariq Barakat</t>
  </si>
  <si>
    <t xml:space="preserve">0598-396-757</t>
  </si>
  <si>
    <t xml:space="preserve">FAM-1130</t>
  </si>
  <si>
    <t xml:space="preserve">Khaled Odeh</t>
  </si>
  <si>
    <t xml:space="preserve">0592-420-982</t>
  </si>
  <si>
    <t xml:space="preserve">FAM-1131</t>
  </si>
  <si>
    <t xml:space="preserve">0591-151-397</t>
  </si>
  <si>
    <t xml:space="preserve">FAM-1132</t>
  </si>
  <si>
    <t xml:space="preserve">0597-610-415</t>
  </si>
  <si>
    <t xml:space="preserve">FAM-1133</t>
  </si>
  <si>
    <t xml:space="preserve">Mahmoud Hilles</t>
  </si>
  <si>
    <t xml:space="preserve">0597-392-649</t>
  </si>
  <si>
    <t xml:space="preserve">FAM-1134</t>
  </si>
  <si>
    <t xml:space="preserve">Fadi Zaqout</t>
  </si>
  <si>
    <t xml:space="preserve">0594-175-495</t>
  </si>
  <si>
    <t xml:space="preserve">FAM-1135</t>
  </si>
  <si>
    <t xml:space="preserve">0595-873-247</t>
  </si>
  <si>
    <t xml:space="preserve">FAM-1136</t>
  </si>
  <si>
    <t xml:space="preserve">Dina Khalil</t>
  </si>
  <si>
    <t xml:space="preserve">0592-435-727</t>
  </si>
  <si>
    <t xml:space="preserve">FAM-1137</t>
  </si>
  <si>
    <t xml:space="preserve">Nader Salem</t>
  </si>
  <si>
    <t xml:space="preserve">0590-477-439</t>
  </si>
  <si>
    <t xml:space="preserve">FAM-1138</t>
  </si>
  <si>
    <t xml:space="preserve">0599-333-838</t>
  </si>
  <si>
    <t xml:space="preserve">FAM-1139</t>
  </si>
  <si>
    <t xml:space="preserve">0593-119-551</t>
  </si>
  <si>
    <t xml:space="preserve">FAM-1140</t>
  </si>
  <si>
    <t xml:space="preserve">Wael Awad</t>
  </si>
  <si>
    <t xml:space="preserve">0593-674-432</t>
  </si>
  <si>
    <t xml:space="preserve">FAM-1141</t>
  </si>
  <si>
    <t xml:space="preserve">Nader Najjar</t>
  </si>
  <si>
    <t xml:space="preserve">0594-724-595</t>
  </si>
  <si>
    <t xml:space="preserve">FAM-1142</t>
  </si>
  <si>
    <t xml:space="preserve">Hasan Mansour</t>
  </si>
  <si>
    <t xml:space="preserve">0598-914-838</t>
  </si>
  <si>
    <t xml:space="preserve">FAM-1143</t>
  </si>
  <si>
    <t xml:space="preserve">0591-454-552</t>
  </si>
  <si>
    <t xml:space="preserve">FAM-1144</t>
  </si>
  <si>
    <t xml:space="preserve">Asma Darwish</t>
  </si>
  <si>
    <t xml:space="preserve">0598-331-753</t>
  </si>
  <si>
    <t xml:space="preserve">FAM-1145</t>
  </si>
  <si>
    <t xml:space="preserve">Salma Hamdan</t>
  </si>
  <si>
    <t xml:space="preserve">0596-768-999</t>
  </si>
  <si>
    <t xml:space="preserve">FAM-1146</t>
  </si>
  <si>
    <t xml:space="preserve">0590-279-527</t>
  </si>
  <si>
    <t xml:space="preserve">FAM-1147</t>
  </si>
  <si>
    <t xml:space="preserve">Hasan Odeh</t>
  </si>
  <si>
    <t xml:space="preserve">0595-391-565</t>
  </si>
  <si>
    <t xml:space="preserve">FAM-1148</t>
  </si>
  <si>
    <t xml:space="preserve">0592-114-854</t>
  </si>
  <si>
    <t xml:space="preserve">FAM-1149</t>
  </si>
  <si>
    <t xml:space="preserve">Reem Abed</t>
  </si>
  <si>
    <t xml:space="preserve">0592-243-588</t>
  </si>
  <si>
    <t xml:space="preserve">FAM-1150</t>
  </si>
  <si>
    <t xml:space="preserve">Tariq Khalil</t>
  </si>
  <si>
    <t xml:space="preserve">0593-163-783</t>
  </si>
  <si>
    <t xml:space="preserve">FAM-1151</t>
  </si>
  <si>
    <t xml:space="preserve">0592-589-256</t>
  </si>
  <si>
    <t xml:space="preserve">FAM-1152</t>
  </si>
  <si>
    <t xml:space="preserve">0598-557-640</t>
  </si>
  <si>
    <t xml:space="preserve">FAM-1153</t>
  </si>
  <si>
    <t xml:space="preserve">0593-834-697</t>
  </si>
  <si>
    <t xml:space="preserve">FAM-1154</t>
  </si>
  <si>
    <t xml:space="preserve">Rana Yaseen</t>
  </si>
  <si>
    <t xml:space="preserve">0590-505-360</t>
  </si>
  <si>
    <t xml:space="preserve">FAM-1155</t>
  </si>
  <si>
    <t xml:space="preserve">0590-393-518</t>
  </si>
  <si>
    <t xml:space="preserve">FAM-1156</t>
  </si>
  <si>
    <t xml:space="preserve">Rami Zaqout</t>
  </si>
  <si>
    <t xml:space="preserve">0596-182-799</t>
  </si>
  <si>
    <t xml:space="preserve">FAM-1157</t>
  </si>
  <si>
    <t xml:space="preserve">Yahya Shaheen</t>
  </si>
  <si>
    <t xml:space="preserve">0598-534-644</t>
  </si>
  <si>
    <t xml:space="preserve">FAM-1158</t>
  </si>
  <si>
    <t xml:space="preserve">Aya Saleh</t>
  </si>
  <si>
    <t xml:space="preserve">0590-346-311</t>
  </si>
  <si>
    <t xml:space="preserve">FAM-1159</t>
  </si>
  <si>
    <t xml:space="preserve">0590-243-615</t>
  </si>
  <si>
    <t xml:space="preserve">FAM-1160</t>
  </si>
  <si>
    <t xml:space="preserve">0594-381-162</t>
  </si>
  <si>
    <t xml:space="preserve">FAM-1161</t>
  </si>
  <si>
    <t xml:space="preserve">Bilal Abed</t>
  </si>
  <si>
    <t xml:space="preserve">0596-288-872</t>
  </si>
  <si>
    <t xml:space="preserve">FAM-1162</t>
  </si>
  <si>
    <t xml:space="preserve">Ziad Odeh</t>
  </si>
  <si>
    <t xml:space="preserve">0593-361-308</t>
  </si>
  <si>
    <t xml:space="preserve">FAM-1163</t>
  </si>
  <si>
    <t xml:space="preserve">Dina Barakat</t>
  </si>
  <si>
    <t xml:space="preserve">0591-292-923</t>
  </si>
  <si>
    <t xml:space="preserve">FAM-1164</t>
  </si>
  <si>
    <t xml:space="preserve">0597-348-812</t>
  </si>
  <si>
    <t xml:space="preserve">FAM-1165</t>
  </si>
  <si>
    <t xml:space="preserve">0597-577-200</t>
  </si>
  <si>
    <t xml:space="preserve">FAM-1166</t>
  </si>
  <si>
    <t xml:space="preserve">Hani Shaheen</t>
  </si>
  <si>
    <t xml:space="preserve">0596-402-256</t>
  </si>
  <si>
    <t xml:space="preserve">FAM-1167</t>
  </si>
  <si>
    <t xml:space="preserve">0597-272-850</t>
  </si>
  <si>
    <t xml:space="preserve">FAM-1168</t>
  </si>
  <si>
    <t xml:space="preserve">0590-882-106</t>
  </si>
  <si>
    <t xml:space="preserve">FAM-1169</t>
  </si>
  <si>
    <t xml:space="preserve">0597-116-106</t>
  </si>
  <si>
    <t xml:space="preserve">FAM-1170</t>
  </si>
  <si>
    <t xml:space="preserve">Noor Hassan</t>
  </si>
  <si>
    <t xml:space="preserve">0592-209-198</t>
  </si>
  <si>
    <t xml:space="preserve">FAM-1171</t>
  </si>
  <si>
    <t xml:space="preserve">Tariq Abed</t>
  </si>
  <si>
    <t xml:space="preserve">0593-407-800</t>
  </si>
  <si>
    <t xml:space="preserve">FAM-1172</t>
  </si>
  <si>
    <t xml:space="preserve">Mohammed Hassan</t>
  </si>
  <si>
    <t xml:space="preserve">0595-679-978</t>
  </si>
  <si>
    <t xml:space="preserve">FAM-1173</t>
  </si>
  <si>
    <t xml:space="preserve">Hani Awad</t>
  </si>
  <si>
    <t xml:space="preserve">0598-677-773</t>
  </si>
  <si>
    <t xml:space="preserve">FAM-1174</t>
  </si>
  <si>
    <t xml:space="preserve">0596-793-653</t>
  </si>
  <si>
    <t xml:space="preserve">FAM-1175</t>
  </si>
  <si>
    <t xml:space="preserve">Dina Zaqout</t>
  </si>
  <si>
    <t xml:space="preserve">0599-709-506</t>
  </si>
  <si>
    <t xml:space="preserve">FAM-1176</t>
  </si>
  <si>
    <t xml:space="preserve">Asma Abed</t>
  </si>
  <si>
    <t xml:space="preserve">0599-402-917</t>
  </si>
  <si>
    <t xml:space="preserve">FAM-1177</t>
  </si>
  <si>
    <t xml:space="preserve">Yahya Abed</t>
  </si>
  <si>
    <t xml:space="preserve">0595-879-376</t>
  </si>
  <si>
    <t xml:space="preserve">FAM-1178</t>
  </si>
  <si>
    <t xml:space="preserve">Rami Saleh</t>
  </si>
  <si>
    <t xml:space="preserve">0599-903-432</t>
  </si>
  <si>
    <t xml:space="preserve">FAM-1179</t>
  </si>
  <si>
    <t xml:space="preserve">0594-374-604</t>
  </si>
  <si>
    <t xml:space="preserve">FAM-1180</t>
  </si>
  <si>
    <t xml:space="preserve">Khaled Zaqout</t>
  </si>
  <si>
    <t xml:space="preserve">0593-568-209</t>
  </si>
  <si>
    <t xml:space="preserve">FAM-1181</t>
  </si>
  <si>
    <t xml:space="preserve">Nader Yaseen</t>
  </si>
  <si>
    <t xml:space="preserve">0592-407-428</t>
  </si>
  <si>
    <t xml:space="preserve">FAM-1182</t>
  </si>
  <si>
    <t xml:space="preserve">Nader Mansour</t>
  </si>
  <si>
    <t xml:space="preserve">0595-485-387</t>
  </si>
  <si>
    <t xml:space="preserve">FAM-1183</t>
  </si>
  <si>
    <t xml:space="preserve">Ibrahim Najjar</t>
  </si>
  <si>
    <t xml:space="preserve">0593-548-916</t>
  </si>
  <si>
    <t xml:space="preserve">FAM-1184</t>
  </si>
  <si>
    <t xml:space="preserve">0596-175-559</t>
  </si>
  <si>
    <t xml:space="preserve">FAM-1185</t>
  </si>
  <si>
    <t xml:space="preserve">Rami Najjar</t>
  </si>
  <si>
    <t xml:space="preserve">0599-753-187</t>
  </si>
  <si>
    <t xml:space="preserve">FAM-1186</t>
  </si>
  <si>
    <t xml:space="preserve">Mohammed Hilles</t>
  </si>
  <si>
    <t xml:space="preserve">0596-208-110</t>
  </si>
  <si>
    <t xml:space="preserve">FAM-1187</t>
  </si>
  <si>
    <t xml:space="preserve">0598-254-453</t>
  </si>
  <si>
    <t xml:space="preserve">FAM-1188</t>
  </si>
  <si>
    <t xml:space="preserve">0595-587-199</t>
  </si>
  <si>
    <t xml:space="preserve">FAM-1189</t>
  </si>
  <si>
    <t xml:space="preserve">Omar Hassan</t>
  </si>
  <si>
    <t xml:space="preserve">0593-628-278</t>
  </si>
  <si>
    <t xml:space="preserve">FAM-1190</t>
  </si>
  <si>
    <t xml:space="preserve">Rana Qasem</t>
  </si>
  <si>
    <t xml:space="preserve">0593-560-706</t>
  </si>
  <si>
    <t xml:space="preserve">FAM-1191</t>
  </si>
  <si>
    <t xml:space="preserve">Khaled Hilles</t>
  </si>
  <si>
    <t xml:space="preserve">0597-216-368</t>
  </si>
  <si>
    <t xml:space="preserve">FAM-1192</t>
  </si>
  <si>
    <t xml:space="preserve">Bilal Zaqout</t>
  </si>
  <si>
    <t xml:space="preserve">0594-729-704</t>
  </si>
  <si>
    <t xml:space="preserve">FAM-1193</t>
  </si>
  <si>
    <t xml:space="preserve">Samar Hamdan</t>
  </si>
  <si>
    <t xml:space="preserve">0592-598-750</t>
  </si>
  <si>
    <t xml:space="preserve">FAM-1194</t>
  </si>
  <si>
    <t xml:space="preserve">Samar Yaseen</t>
  </si>
  <si>
    <t xml:space="preserve">0593-934-493</t>
  </si>
  <si>
    <t xml:space="preserve">FAM-1195</t>
  </si>
  <si>
    <t xml:space="preserve">Ziad Awad</t>
  </si>
  <si>
    <t xml:space="preserve">0590-381-330</t>
  </si>
  <si>
    <t xml:space="preserve">FAM-1196</t>
  </si>
  <si>
    <t xml:space="preserve">0595-655-942</t>
  </si>
  <si>
    <t xml:space="preserve">FAM-1197</t>
  </si>
  <si>
    <t xml:space="preserve">Reem Shaheen</t>
  </si>
  <si>
    <t xml:space="preserve">0591-549-986</t>
  </si>
  <si>
    <t xml:space="preserve">FAM-1198</t>
  </si>
  <si>
    <t xml:space="preserve">Wael Haddad</t>
  </si>
  <si>
    <t xml:space="preserve">0590-683-459</t>
  </si>
  <si>
    <t xml:space="preserve">FAM-1199</t>
  </si>
  <si>
    <t xml:space="preserve">Hasan Hilles</t>
  </si>
  <si>
    <t xml:space="preserve">0591-238-868</t>
  </si>
  <si>
    <t xml:space="preserve">FAM-1200</t>
  </si>
  <si>
    <t xml:space="preserve">0596-601-245</t>
  </si>
  <si>
    <t xml:space="preserve">FAM-1201</t>
  </si>
  <si>
    <t xml:space="preserve">Salma Nasser</t>
  </si>
  <si>
    <t xml:space="preserve">0597-599-435</t>
  </si>
  <si>
    <t xml:space="preserve">FAM-1202</t>
  </si>
  <si>
    <t xml:space="preserve">0597-374-430</t>
  </si>
  <si>
    <t xml:space="preserve">FAM-1203</t>
  </si>
  <si>
    <t xml:space="preserve">Nader Odeh</t>
  </si>
  <si>
    <t xml:space="preserve">0592-551-567</t>
  </si>
  <si>
    <t xml:space="preserve">FAM-1204</t>
  </si>
  <si>
    <t xml:space="preserve">Hasan Qasem</t>
  </si>
  <si>
    <t xml:space="preserve">0591-480-780</t>
  </si>
  <si>
    <t xml:space="preserve">FAM-1205</t>
  </si>
  <si>
    <t xml:space="preserve">Rami Nasser</t>
  </si>
  <si>
    <t xml:space="preserve">0593-631-796</t>
  </si>
  <si>
    <t xml:space="preserve">FAM-1206</t>
  </si>
  <si>
    <t xml:space="preserve">Rami Hamdan</t>
  </si>
  <si>
    <t xml:space="preserve">0591-420-476</t>
  </si>
  <si>
    <t xml:space="preserve">FAM-1207</t>
  </si>
  <si>
    <t xml:space="preserve">Iman Hamdan</t>
  </si>
  <si>
    <t xml:space="preserve">0595-839-318</t>
  </si>
  <si>
    <t xml:space="preserve">FAM-1208</t>
  </si>
  <si>
    <t xml:space="preserve">0596-422-910</t>
  </si>
  <si>
    <t xml:space="preserve">FAM-1209</t>
  </si>
  <si>
    <t xml:space="preserve">0594-310-630</t>
  </si>
  <si>
    <t xml:space="preserve">FAM-1210</t>
  </si>
  <si>
    <t xml:space="preserve">0598-112-469</t>
  </si>
  <si>
    <t xml:space="preserve">FAM-1211</t>
  </si>
  <si>
    <t xml:space="preserve">Ibrahim Awad</t>
  </si>
  <si>
    <t xml:space="preserve">0594-320-140</t>
  </si>
  <si>
    <t xml:space="preserve">FAM-1212</t>
  </si>
  <si>
    <t xml:space="preserve">Rami Haddad</t>
  </si>
  <si>
    <t xml:space="preserve">0594-185-417</t>
  </si>
  <si>
    <t xml:space="preserve">FAM-1213</t>
  </si>
  <si>
    <t xml:space="preserve">Hani Nasser</t>
  </si>
  <si>
    <t xml:space="preserve">0593-188-544</t>
  </si>
  <si>
    <t xml:space="preserve">FAM-1214</t>
  </si>
  <si>
    <t xml:space="preserve">Ibrahim Saleh</t>
  </si>
  <si>
    <t xml:space="preserve">0597-455-635</t>
  </si>
  <si>
    <t xml:space="preserve">FAM-1215</t>
  </si>
  <si>
    <t xml:space="preserve">Tariq Saleh</t>
  </si>
  <si>
    <t xml:space="preserve">0591-369-829</t>
  </si>
  <si>
    <t xml:space="preserve">FAM-1216</t>
  </si>
  <si>
    <t xml:space="preserve">Reem Hilles</t>
  </si>
  <si>
    <t xml:space="preserve">0591-333-858</t>
  </si>
  <si>
    <t xml:space="preserve">FAM-1217</t>
  </si>
  <si>
    <t xml:space="preserve">Samar Abed</t>
  </si>
  <si>
    <t xml:space="preserve">0596-329-429</t>
  </si>
  <si>
    <t xml:space="preserve">FAM-1218</t>
  </si>
  <si>
    <t xml:space="preserve">Jamal Odeh</t>
  </si>
  <si>
    <t xml:space="preserve">0591-998-576</t>
  </si>
  <si>
    <t xml:space="preserve">FAM-1219</t>
  </si>
  <si>
    <t xml:space="preserve">Amal Mansour</t>
  </si>
  <si>
    <t xml:space="preserve">0599-605-891</t>
  </si>
  <si>
    <t xml:space="preserve">FAM-1220</t>
  </si>
  <si>
    <t xml:space="preserve">Rana Hassan</t>
  </si>
  <si>
    <t xml:space="preserve">0595-101-877</t>
  </si>
  <si>
    <t xml:space="preserve">FAM-1221</t>
  </si>
  <si>
    <t xml:space="preserve">Lina Odeh</t>
  </si>
  <si>
    <t xml:space="preserve">0593-965-632</t>
  </si>
  <si>
    <t xml:space="preserve">FAM-1222</t>
  </si>
  <si>
    <t xml:space="preserve">Jamal Hamdan</t>
  </si>
  <si>
    <t xml:space="preserve">0592-342-398</t>
  </si>
  <si>
    <t xml:space="preserve">FAM-1223</t>
  </si>
  <si>
    <t xml:space="preserve">Nader Khalil</t>
  </si>
  <si>
    <t xml:space="preserve">0599-211-259</t>
  </si>
  <si>
    <t xml:space="preserve">FAM-1224</t>
  </si>
  <si>
    <t xml:space="preserve">Mahmoud Yaseen</t>
  </si>
  <si>
    <t xml:space="preserve">0594-946-821</t>
  </si>
  <si>
    <t xml:space="preserve">FAM-1225</t>
  </si>
  <si>
    <t xml:space="preserve">Amal Zaqout</t>
  </si>
  <si>
    <t xml:space="preserve">0592-131-514</t>
  </si>
  <si>
    <t xml:space="preserve">FAM-1226</t>
  </si>
  <si>
    <t xml:space="preserve">Yahya Saleh</t>
  </si>
  <si>
    <t xml:space="preserve">0592-302-943</t>
  </si>
  <si>
    <t xml:space="preserve">FAM-1227</t>
  </si>
  <si>
    <t xml:space="preserve">Ahmad Nasser</t>
  </si>
  <si>
    <t xml:space="preserve">0595-225-143</t>
  </si>
  <si>
    <t xml:space="preserve">FAM-1228</t>
  </si>
  <si>
    <t xml:space="preserve">Amjad Hassan</t>
  </si>
  <si>
    <t xml:space="preserve">0594-386-556</t>
  </si>
  <si>
    <t xml:space="preserve">FAM-1229</t>
  </si>
  <si>
    <t xml:space="preserve">0598-355-745</t>
  </si>
  <si>
    <t xml:space="preserve">FAM-1230</t>
  </si>
  <si>
    <t xml:space="preserve">Saleh Awad</t>
  </si>
  <si>
    <t xml:space="preserve">0590-426-711</t>
  </si>
  <si>
    <t xml:space="preserve">FAM-1231</t>
  </si>
  <si>
    <t xml:space="preserve">0590-882-324</t>
  </si>
  <si>
    <t xml:space="preserve">FAM-1232</t>
  </si>
  <si>
    <t xml:space="preserve">Ibrahim Shaheen</t>
  </si>
  <si>
    <t xml:space="preserve">0590-820-817</t>
  </si>
  <si>
    <t xml:space="preserve">FAM-1233</t>
  </si>
  <si>
    <t xml:space="preserve">0593-120-639</t>
  </si>
  <si>
    <t xml:space="preserve">FAM-1234</t>
  </si>
  <si>
    <t xml:space="preserve">Dina Qasem</t>
  </si>
  <si>
    <t xml:space="preserve">0599-821-245</t>
  </si>
  <si>
    <t xml:space="preserve">FAM-1235</t>
  </si>
  <si>
    <t xml:space="preserve">Fadi Hilles</t>
  </si>
  <si>
    <t xml:space="preserve">0596-910-754</t>
  </si>
  <si>
    <t xml:space="preserve">FAM-1236</t>
  </si>
  <si>
    <t xml:space="preserve">0594-230-281</t>
  </si>
  <si>
    <t xml:space="preserve">FAM-1237</t>
  </si>
  <si>
    <t xml:space="preserve">Mohammed Qasem</t>
  </si>
  <si>
    <t xml:space="preserve">0599-206-608</t>
  </si>
  <si>
    <t xml:space="preserve">FAM-1238</t>
  </si>
  <si>
    <t xml:space="preserve">0590-371-314</t>
  </si>
  <si>
    <t xml:space="preserve">FAM-1239</t>
  </si>
  <si>
    <t xml:space="preserve">Mohammed Abed</t>
  </si>
  <si>
    <t xml:space="preserve">0596-459-659</t>
  </si>
  <si>
    <t xml:space="preserve">FAM-1240</t>
  </si>
  <si>
    <t xml:space="preserve">Sami Qasem</t>
  </si>
  <si>
    <t xml:space="preserve">0594-207-175</t>
  </si>
  <si>
    <t xml:space="preserve">FAM-1241</t>
  </si>
  <si>
    <t xml:space="preserve">Khaled Khalil</t>
  </si>
  <si>
    <t xml:space="preserve">0592-721-544</t>
  </si>
  <si>
    <t xml:space="preserve">FAM-1242</t>
  </si>
  <si>
    <t xml:space="preserve">Saleh Najjar</t>
  </si>
  <si>
    <t xml:space="preserve">0599-662-960</t>
  </si>
  <si>
    <t xml:space="preserve">FAM-1243</t>
  </si>
  <si>
    <t xml:space="preserve">0591-584-964</t>
  </si>
  <si>
    <t xml:space="preserve">FAM-1244</t>
  </si>
  <si>
    <t xml:space="preserve">Iman Najjar</t>
  </si>
  <si>
    <t xml:space="preserve">0590-369-550</t>
  </si>
  <si>
    <t xml:space="preserve">FAM-1245</t>
  </si>
  <si>
    <t xml:space="preserve">Dina Saleh</t>
  </si>
  <si>
    <t xml:space="preserve">0599-332-666</t>
  </si>
  <si>
    <t xml:space="preserve">FAM-1246</t>
  </si>
  <si>
    <t xml:space="preserve">Amjad Hilles</t>
  </si>
  <si>
    <t xml:space="preserve">0590-614-684</t>
  </si>
  <si>
    <t xml:space="preserve">FAM-1247</t>
  </si>
  <si>
    <t xml:space="preserve">Salma Yaseen</t>
  </si>
  <si>
    <t xml:space="preserve">0592-143-533</t>
  </si>
  <si>
    <t xml:space="preserve">FAM-1248</t>
  </si>
  <si>
    <t xml:space="preserve">Hiba Darwish</t>
  </si>
  <si>
    <t xml:space="preserve">0598-506-665</t>
  </si>
  <si>
    <t xml:space="preserve">FAM-1249</t>
  </si>
  <si>
    <t xml:space="preserve">Dina Matar</t>
  </si>
  <si>
    <t xml:space="preserve">0599-702-696</t>
  </si>
  <si>
    <t xml:space="preserve">FAM-1250</t>
  </si>
  <si>
    <t xml:space="preserve">Saleh Zaqout</t>
  </si>
  <si>
    <t xml:space="preserve">0597-138-276</t>
  </si>
  <si>
    <t xml:space="preserve">FAM-1251</t>
  </si>
  <si>
    <t xml:space="preserve">Fadi Khalil</t>
  </si>
  <si>
    <t xml:space="preserve">0595-120-445</t>
  </si>
  <si>
    <t xml:space="preserve">FAM-1252</t>
  </si>
  <si>
    <t xml:space="preserve">Sami Hamdan</t>
  </si>
  <si>
    <t xml:space="preserve">0596-719-761</t>
  </si>
  <si>
    <t xml:space="preserve">FAM-1253</t>
  </si>
  <si>
    <t xml:space="preserve">0598-513-238</t>
  </si>
  <si>
    <t xml:space="preserve">FAM-1254</t>
  </si>
  <si>
    <t xml:space="preserve">0595-943-575</t>
  </si>
  <si>
    <t xml:space="preserve">FAM-1255</t>
  </si>
  <si>
    <t xml:space="preserve">Ziad Qasem</t>
  </si>
  <si>
    <t xml:space="preserve">0594-866-950</t>
  </si>
  <si>
    <t xml:space="preserve">FAM-1256</t>
  </si>
  <si>
    <t xml:space="preserve">Mahmoud Shaheen</t>
  </si>
  <si>
    <t xml:space="preserve">0590-985-899</t>
  </si>
  <si>
    <t xml:space="preserve">FAM-1257</t>
  </si>
  <si>
    <t xml:space="preserve">Noor Matar</t>
  </si>
  <si>
    <t xml:space="preserve">0596-485-972</t>
  </si>
  <si>
    <t xml:space="preserve">FAM-1258</t>
  </si>
  <si>
    <t xml:space="preserve">Wael Abed</t>
  </si>
  <si>
    <t xml:space="preserve">0595-674-762</t>
  </si>
  <si>
    <t xml:space="preserve">FAM-1259</t>
  </si>
  <si>
    <t xml:space="preserve">Noor Khalil</t>
  </si>
  <si>
    <t xml:space="preserve">0594-292-253</t>
  </si>
  <si>
    <t xml:space="preserve">FAM-1260</t>
  </si>
  <si>
    <t xml:space="preserve">0594-365-528</t>
  </si>
  <si>
    <t xml:space="preserve">FAM-1261</t>
  </si>
  <si>
    <t xml:space="preserve">0595-619-407</t>
  </si>
  <si>
    <t xml:space="preserve">FAM-1262</t>
  </si>
  <si>
    <t xml:space="preserve">Noor Najjar</t>
  </si>
  <si>
    <t xml:space="preserve">0591-327-463</t>
  </si>
  <si>
    <t xml:space="preserve">FAM-1263</t>
  </si>
  <si>
    <t xml:space="preserve">Hani Mansour</t>
  </si>
  <si>
    <t xml:space="preserve">0599-735-172</t>
  </si>
  <si>
    <t xml:space="preserve">FAM-1264</t>
  </si>
  <si>
    <t xml:space="preserve">0596-683-568</t>
  </si>
  <si>
    <t xml:space="preserve">FAM-1265</t>
  </si>
  <si>
    <t xml:space="preserve">Ibrahim Khalil</t>
  </si>
  <si>
    <t xml:space="preserve">0592-690-882</t>
  </si>
  <si>
    <t xml:space="preserve">FAM-1266</t>
  </si>
  <si>
    <t xml:space="preserve">Rami Awad</t>
  </si>
  <si>
    <t xml:space="preserve">0590-429-875</t>
  </si>
  <si>
    <t xml:space="preserve">FAM-1267</t>
  </si>
  <si>
    <t xml:space="preserve">0591-943-146</t>
  </si>
  <si>
    <t xml:space="preserve">FAM-1268</t>
  </si>
  <si>
    <t xml:space="preserve">Yahya Khalil</t>
  </si>
  <si>
    <t xml:space="preserve">0596-119-333</t>
  </si>
  <si>
    <t xml:space="preserve">FAM-1269</t>
  </si>
  <si>
    <t xml:space="preserve">Omar Zaqout</t>
  </si>
  <si>
    <t xml:space="preserve">0598-738-149</t>
  </si>
  <si>
    <t xml:space="preserve">FAM-1270</t>
  </si>
  <si>
    <t xml:space="preserve">Rami Yaseen</t>
  </si>
  <si>
    <t xml:space="preserve">0590-408-530</t>
  </si>
  <si>
    <t xml:space="preserve">FAM-1271</t>
  </si>
  <si>
    <t xml:space="preserve">Reem Saleh</t>
  </si>
  <si>
    <t xml:space="preserve">0597-303-723</t>
  </si>
  <si>
    <t xml:space="preserve">FAM-1272</t>
  </si>
  <si>
    <t xml:space="preserve">Rami Mansour</t>
  </si>
  <si>
    <t xml:space="preserve">0597-438-340</t>
  </si>
  <si>
    <t xml:space="preserve">FAM-1273</t>
  </si>
  <si>
    <t xml:space="preserve">0593-567-403</t>
  </si>
  <si>
    <t xml:space="preserve">FAM-1274</t>
  </si>
  <si>
    <t xml:space="preserve">Noor Zaqout</t>
  </si>
  <si>
    <t xml:space="preserve">0590-109-972</t>
  </si>
  <si>
    <t xml:space="preserve">FAM-1275</t>
  </si>
  <si>
    <t xml:space="preserve">Tariq Nasser</t>
  </si>
  <si>
    <t xml:space="preserve">0597-378-955</t>
  </si>
  <si>
    <t xml:space="preserve">FAM-1276</t>
  </si>
  <si>
    <t xml:space="preserve">0596-704-594</t>
  </si>
  <si>
    <t xml:space="preserve">FAM-1277</t>
  </si>
  <si>
    <t xml:space="preserve">0591-367-770</t>
  </si>
  <si>
    <t xml:space="preserve">FAM-1278</t>
  </si>
  <si>
    <t xml:space="preserve">0593-593-454</t>
  </si>
  <si>
    <t xml:space="preserve">FAM-1279</t>
  </si>
  <si>
    <t xml:space="preserve">Aya Qasem</t>
  </si>
  <si>
    <t xml:space="preserve">0597-428-346</t>
  </si>
  <si>
    <t xml:space="preserve">FAM-1280</t>
  </si>
  <si>
    <t xml:space="preserve">Sami Nasser</t>
  </si>
  <si>
    <t xml:space="preserve">0597-423-221</t>
  </si>
  <si>
    <t xml:space="preserve">FAM-1281</t>
  </si>
  <si>
    <t xml:space="preserve">0598-311-770</t>
  </si>
  <si>
    <t xml:space="preserve">FAM-1282</t>
  </si>
  <si>
    <t xml:space="preserve">0597-216-199</t>
  </si>
  <si>
    <t xml:space="preserve">FAM-1283</t>
  </si>
  <si>
    <t xml:space="preserve">Saleh Salem</t>
  </si>
  <si>
    <t xml:space="preserve">0596-209-360</t>
  </si>
  <si>
    <t xml:space="preserve">FAM-1284</t>
  </si>
  <si>
    <t xml:space="preserve">Reem Barakat</t>
  </si>
  <si>
    <t xml:space="preserve">0599-226-890</t>
  </si>
  <si>
    <t xml:space="preserve">FAM-1285</t>
  </si>
  <si>
    <t xml:space="preserve">0592-808-692</t>
  </si>
  <si>
    <t xml:space="preserve">FAM-1286</t>
  </si>
  <si>
    <t xml:space="preserve">0593-380-507</t>
  </si>
  <si>
    <t xml:space="preserve">FAM-1287</t>
  </si>
  <si>
    <t xml:space="preserve">Jamal Mansour</t>
  </si>
  <si>
    <t xml:space="preserve">0598-747-322</t>
  </si>
  <si>
    <t xml:space="preserve">FAM-1288</t>
  </si>
  <si>
    <t xml:space="preserve">Yahya Qasem</t>
  </si>
  <si>
    <t xml:space="preserve">0595-675-591</t>
  </si>
  <si>
    <t xml:space="preserve">FAM-1289</t>
  </si>
  <si>
    <t xml:space="preserve">Rami Hassan</t>
  </si>
  <si>
    <t xml:space="preserve">0593-373-868</t>
  </si>
  <si>
    <t xml:space="preserve">FAM-1290</t>
  </si>
  <si>
    <t xml:space="preserve">Mahmoud Najjar</t>
  </si>
  <si>
    <t xml:space="preserve">0598-985-329</t>
  </si>
  <si>
    <t xml:space="preserve">FAM-1291</t>
  </si>
  <si>
    <t xml:space="preserve">0598-155-113</t>
  </si>
  <si>
    <t xml:space="preserve">FAM-1292</t>
  </si>
  <si>
    <t xml:space="preserve">Sami Zaqout</t>
  </si>
  <si>
    <t xml:space="preserve">0593-401-559</t>
  </si>
  <si>
    <t xml:space="preserve">FAM-1293</t>
  </si>
  <si>
    <t xml:space="preserve">Fadi Odeh</t>
  </si>
  <si>
    <t xml:space="preserve">0594-105-438</t>
  </si>
  <si>
    <t xml:space="preserve">FAM-1294</t>
  </si>
  <si>
    <t xml:space="preserve">0595-638-325</t>
  </si>
  <si>
    <t xml:space="preserve">FAM-1295</t>
  </si>
  <si>
    <t xml:space="preserve">Fadi Nasser</t>
  </si>
  <si>
    <t xml:space="preserve">0594-323-870</t>
  </si>
  <si>
    <t xml:space="preserve">FAM-1296</t>
  </si>
  <si>
    <t xml:space="preserve">0599-349-140</t>
  </si>
  <si>
    <t xml:space="preserve">FAM-1297</t>
  </si>
  <si>
    <t xml:space="preserve">0593-428-626</t>
  </si>
  <si>
    <t xml:space="preserve">FAM-1298</t>
  </si>
  <si>
    <t xml:space="preserve">Khaled Barakat</t>
  </si>
  <si>
    <t xml:space="preserve">0591-310-650</t>
  </si>
  <si>
    <t xml:space="preserve">FAM-1299</t>
  </si>
  <si>
    <t xml:space="preserve">0599-941-333</t>
  </si>
  <si>
    <t xml:space="preserve">FAM-1300</t>
  </si>
  <si>
    <t xml:space="preserve">0599-146-817</t>
  </si>
  <si>
    <t xml:space="preserve">Shelter type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</si>
</sst>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%"/>
    <numFmt numFmtId="168" formatCode="dd\-mmm\-yyyy"/>
    <numFmt numFmtId="169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B6B7F"/>
      <name val="Arial"/>
      <family val="0"/>
      <charset val="1"/>
    </font>
    <font>
      <b val="true"/>
      <sz val="9"/>
      <color rgb="FF5B6B7F"/>
      <name val="Arial"/>
      <family val="0"/>
      <charset val="1"/>
    </font>
    <font>
      <b val="true"/>
      <sz val="20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9"/>
      <color rgb="FF5B6B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3F8"/>
        <bgColor rgb="FFF9F9F9"/>
      </patternFill>
    </fill>
    <fill>
      <patternFill patternType="solid">
        <fgColor rgb="FF2A9D8F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FFFFFF"/>
      </left>
      <right style="thick">
        <color rgb="FFFFFFFF"/>
      </right>
      <top style="medium">
        <color rgb="FF2A9D8F"/>
      </top>
      <bottom/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D1F2E4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E6B4A"/>
          <bgColor rgb="FF000000"/>
        </patternFill>
      </fill>
    </dxf>
    <dxf>
      <fill>
        <patternFill patternType="solid">
          <fgColor rgb="FF8A6100"/>
          <bgColor rgb="FF000000"/>
        </patternFill>
      </fill>
    </dxf>
    <dxf>
      <fill>
        <patternFill patternType="solid">
          <fgColor rgb="FF9B1C1C"/>
          <bgColor rgb="FF000000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8D7DA"/>
        </patternFill>
      </fill>
    </dxf>
    <dxf>
      <font>
        <name val="Arial"/>
        <charset val="1"/>
        <family val="0"/>
        <color rgb="FF8A6100"/>
      </font>
      <fill>
        <patternFill>
          <bgColor rgb="FFFFF3CD"/>
        </patternFill>
      </fill>
    </dxf>
    <dxf>
      <font>
        <name val="Arial"/>
        <charset val="1"/>
        <family val="0"/>
        <color rgb="FF1E6B4A"/>
      </font>
      <fill>
        <patternFill>
          <bgColor rgb="FFD1F2E4"/>
        </patternFill>
      </fill>
    </dxf>
    <dxf>
      <font>
        <name val="Arial"/>
        <charset val="1"/>
        <family val="0"/>
        <i val="1"/>
        <color rgb="FFB4530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1E6B4A"/>
      <rgbColor rgb="FFD9D9D9"/>
      <rgbColor rgb="FF878787"/>
      <rgbColor rgb="FF9999FF"/>
      <rgbColor rgb="FFC0392B"/>
      <rgbColor rgb="FFFFF3CD"/>
      <rgbColor rgb="FFEEF3F8"/>
      <rgbColor rgb="FF660066"/>
      <rgbColor rgb="FFE76F51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1F2E4"/>
      <rgbColor rgb="FFFFFF99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4A261"/>
      <rgbColor rgb="FFFF6600"/>
      <rgbColor rgb="FF5B6B7F"/>
      <rgbColor rgb="FF969696"/>
      <rgbColor rgb="FF1F3A5F"/>
      <rgbColor rgb="FF2A9D8F"/>
      <rgbColor rgb="FF003300"/>
      <rgbColor rgb="FF333300"/>
      <rgbColor rgb="FF9B1C1C"/>
      <rgbColor rgb="FFB4530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Families by camp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</c:f>
              <c:strCache>
                <c:ptCount val="1"/>
                <c:pt idx="0">
                  <c:v>Families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Dashboard!$B$10:$B$14</c:f>
              <c:strCache>
                <c:ptCount val="5"/>
                <c:pt idx="0">
                  <c:v>Al-Amal</c:v>
                </c:pt>
                <c:pt idx="1">
                  <c:v>Al-Noor</c:v>
                </c:pt>
                <c:pt idx="2">
                  <c:v>Al-Fajr</c:v>
                </c:pt>
                <c:pt idx="3">
                  <c:v>Al-Rahma</c:v>
                </c:pt>
                <c:pt idx="4">
                  <c:v>Al-Wafa</c:v>
                </c:pt>
              </c:strCache>
            </c:strRef>
          </c:cat>
          <c:val>
            <c:numRef>
              <c:f>Dashboard!$C$10:$C$14</c:f>
              <c:numCache>
                <c:formatCode>#,##0</c:formatCode>
                <c:ptCount val="5"/>
                <c:pt idx="0">
                  <c:v>63</c:v>
                </c:pt>
                <c:pt idx="1">
                  <c:v>69</c:v>
                </c:pt>
                <c:pt idx="2">
                  <c:v>58</c:v>
                </c:pt>
                <c:pt idx="3">
                  <c:v>58</c:v>
                </c:pt>
                <c:pt idx="4">
                  <c:v>52</c:v>
                </c:pt>
              </c:numCache>
            </c:numRef>
          </c:val>
        </c:ser>
        <c:ser>
          <c:idx val="1"/>
          <c:order val="1"/>
          <c:tx>
            <c:strRef>
              <c:f>Dashboard!E9</c:f>
              <c:strCache>
                <c:ptCount val="1"/>
                <c:pt idx="0">
                  <c:v>High priority</c:v>
                </c:pt>
              </c:strCache>
            </c:strRef>
          </c:tx>
          <c:spPr>
            <a:solidFill>
              <a:srgbClr val="e76f5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Dashboard!$B$10:$B$14</c:f>
              <c:strCache>
                <c:ptCount val="5"/>
                <c:pt idx="0">
                  <c:v>Al-Amal</c:v>
                </c:pt>
                <c:pt idx="1">
                  <c:v>Al-Noor</c:v>
                </c:pt>
                <c:pt idx="2">
                  <c:v>Al-Fajr</c:v>
                </c:pt>
                <c:pt idx="3">
                  <c:v>Al-Rahma</c:v>
                </c:pt>
                <c:pt idx="4">
                  <c:v>Al-Wafa</c:v>
                </c:pt>
              </c:strCache>
            </c:strRef>
          </c:cat>
          <c:val>
            <c:numRef>
              <c:f>Dashboard!$E$10:$E$14</c:f>
              <c:numCache>
                <c:formatCode>#,##0</c:formatCode>
                <c:ptCount val="5"/>
                <c:pt idx="0">
                  <c:v>6</c:v>
                </c:pt>
                <c:pt idx="1">
                  <c:v>6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</c:ser>
        <c:gapWidth val="150"/>
        <c:overlap val="0"/>
        <c:axId val="56156854"/>
        <c:axId val="31480779"/>
      </c:barChart>
      <c:catAx>
        <c:axId val="561568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80779"/>
        <c:crosses val="autoZero"/>
        <c:auto val="1"/>
        <c:lblAlgn val="ctr"/>
        <c:lblOffset val="100"/>
        <c:noMultiLvlLbl val="0"/>
      </c:catAx>
      <c:valAx>
        <c:axId val="3148077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Families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568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Priority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Dashboard!C18</c:f>
              <c:strCache>
                <c:ptCount val="1"/>
                <c:pt idx="0">
                  <c:v>Families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0392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4a26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a9d8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Dashboard!$B$19:$B$21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Dashboard!$C$19:$C$21</c:f>
              <c:numCache>
                <c:formatCode>General</c:formatCode>
                <c:ptCount val="3"/>
                <c:pt idx="0">
                  <c:v>39</c:v>
                </c:pt>
                <c:pt idx="1">
                  <c:v>178</c:v>
                </c:pt>
                <c:pt idx="2">
                  <c:v>83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18</xdr:col>
      <xdr:colOff>225720</xdr:colOff>
      <xdr:row>14</xdr:row>
      <xdr:rowOff>38880</xdr:rowOff>
    </xdr:to>
    <xdr:graphicFrame>
      <xdr:nvGraphicFramePr>
        <xdr:cNvPr id="0" name="Chart 1"/>
        <xdr:cNvGraphicFramePr/>
      </xdr:nvGraphicFramePr>
      <xdr:xfrm>
        <a:off x="6484680" y="857160"/>
        <a:ext cx="53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18</xdr:col>
      <xdr:colOff>585720</xdr:colOff>
      <xdr:row>29</xdr:row>
      <xdr:rowOff>161640</xdr:rowOff>
    </xdr:to>
    <xdr:graphicFrame>
      <xdr:nvGraphicFramePr>
        <xdr:cNvPr id="1" name="Chart 2"/>
        <xdr:cNvGraphicFramePr/>
      </xdr:nvGraphicFramePr>
      <xdr:xfrm>
        <a:off x="6484680" y="3981600"/>
        <a:ext cx="575964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egistry" displayName="Registry" ref="A1:O301" headerRowCount="1" totalsRowCount="0" totalsRowShown="0">
  <autoFilter ref="A1:O301"/>
  <tableColumns count="15">
    <tableColumn id="1" name="Family ID"/>
    <tableColumn id="2" name="Head of Household"/>
    <tableColumn id="3" name="Gender"/>
    <tableColumn id="4" name="Age"/>
    <tableColumn id="5" name="Camp"/>
    <tableColumn id="6" name="Shelter Type"/>
    <tableColumn id="7" name="Family Size"/>
    <tableColumn id="8" name="Children &lt;5"/>
    <tableColumn id="9" name="Elderly 60+"/>
    <tableColumn id="10" name="Persons w/ Disability"/>
    <tableColumn id="11" name="Phone"/>
    <tableColumn id="12" name="Registration Date"/>
    <tableColumn id="13" name="Status"/>
    <tableColumn id="14" name="Vulnerability Score"/>
    <tableColumn id="15" name="Prior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7" min="3" style="0" width="14"/>
    <col collapsed="false" customWidth="true" hidden="false" outlineLevel="0" max="10" min="8" style="0" width="2"/>
  </cols>
  <sheetData>
    <row r="2" customFormat="false" ht="37.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30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customFormat="false" ht="36" hidden="false" customHeight="true" outlineLevel="0" collapsed="false">
      <c r="B6" s="4" t="n">
        <f aca="false">COUNTA(Registry!$A$2:$A$301)</f>
        <v>300</v>
      </c>
      <c r="C6" s="4" t="n">
        <f aca="false">SUM(Registry!$G$2:$G$301)</f>
        <v>1852</v>
      </c>
      <c r="D6" s="5" t="n">
        <f aca="false">ROUND(AVERAGE(Registry!$G$2:$G$301),1)</f>
        <v>6.2</v>
      </c>
      <c r="E6" s="4" t="n">
        <f aca="false">COUNTIF(Registry!$O$2:$O$301,"High")</f>
        <v>39</v>
      </c>
      <c r="F6" s="4" t="n">
        <f aca="false">SUM(Registry!$H$2:$H$301)</f>
        <v>254</v>
      </c>
      <c r="G6" s="6" t="n">
        <f aca="false">COUNTIF(Registry!$M$2:$M$301,"Verified")/COUNTA(Registry!$A$2:$A$301)</f>
        <v>0.573333333333333</v>
      </c>
    </row>
    <row r="8" customFormat="false" ht="15" hidden="false" customHeight="false" outlineLevel="0" collapsed="false">
      <c r="B8" s="7" t="s">
        <v>8</v>
      </c>
    </row>
    <row r="9" customFormat="false" ht="15" hidden="false" customHeight="false" outlineLevel="0" collapsed="false">
      <c r="B9" s="8" t="s">
        <v>9</v>
      </c>
      <c r="C9" s="8" t="s">
        <v>10</v>
      </c>
      <c r="D9" s="8" t="s">
        <v>3</v>
      </c>
      <c r="E9" s="8" t="s">
        <v>11</v>
      </c>
      <c r="F9" s="8" t="s">
        <v>12</v>
      </c>
      <c r="G9" s="8" t="s">
        <v>13</v>
      </c>
    </row>
    <row r="10" customFormat="false" ht="15" hidden="false" customHeight="false" outlineLevel="0" collapsed="false">
      <c r="B10" s="9" t="s">
        <v>14</v>
      </c>
      <c r="C10" s="10" t="n">
        <f aca="false">COUNTIF(Registry!$E$2:$E$301,B10)</f>
        <v>63</v>
      </c>
      <c r="D10" s="10" t="n">
        <f aca="false">SUMIF(Registry!$E$2:$E$301,B10,Registry!$G$2:$G$301)</f>
        <v>362</v>
      </c>
      <c r="E10" s="10" t="n">
        <f aca="false">COUNTIFS(Registry!$E$2:$E$301,B10,Registry!$O$2:$O$301,"High")</f>
        <v>6</v>
      </c>
      <c r="F10" s="10" t="n">
        <f aca="false">SUMIF(Registry!$E$2:$E$301,B10,Registry!$H$2:$H$301)</f>
        <v>49</v>
      </c>
      <c r="G10" s="11" t="n">
        <f aca="false">IFERROR(COUNTIFS(Registry!$E$2:$E$301,B10,Registry!$M$2:$M$301,"Verified")/C10,0)</f>
        <v>0.619047619047619</v>
      </c>
    </row>
    <row r="11" customFormat="false" ht="15" hidden="false" customHeight="false" outlineLevel="0" collapsed="false">
      <c r="B11" s="9" t="s">
        <v>15</v>
      </c>
      <c r="C11" s="10" t="n">
        <f aca="false">COUNTIF(Registry!$E$2:$E$301,B11)</f>
        <v>69</v>
      </c>
      <c r="D11" s="10" t="n">
        <f aca="false">SUMIF(Registry!$E$2:$E$301,B11,Registry!$G$2:$G$301)</f>
        <v>430</v>
      </c>
      <c r="E11" s="10" t="n">
        <f aca="false">COUNTIFS(Registry!$E$2:$E$301,B11,Registry!$O$2:$O$301,"High")</f>
        <v>6</v>
      </c>
      <c r="F11" s="10" t="n">
        <f aca="false">SUMIF(Registry!$E$2:$E$301,B11,Registry!$H$2:$H$301)</f>
        <v>58</v>
      </c>
      <c r="G11" s="11" t="n">
        <f aca="false">IFERROR(COUNTIFS(Registry!$E$2:$E$301,B11,Registry!$M$2:$M$301,"Verified")/C11,0)</f>
        <v>0.550724637681159</v>
      </c>
    </row>
    <row r="12" customFormat="false" ht="15" hidden="false" customHeight="false" outlineLevel="0" collapsed="false">
      <c r="B12" s="9" t="s">
        <v>16</v>
      </c>
      <c r="C12" s="10" t="n">
        <f aca="false">COUNTIF(Registry!$E$2:$E$301,B12)</f>
        <v>58</v>
      </c>
      <c r="D12" s="10" t="n">
        <f aca="false">SUMIF(Registry!$E$2:$E$301,B12,Registry!$G$2:$G$301)</f>
        <v>350</v>
      </c>
      <c r="E12" s="10" t="n">
        <f aca="false">COUNTIFS(Registry!$E$2:$E$301,B12,Registry!$O$2:$O$301,"High")</f>
        <v>11</v>
      </c>
      <c r="F12" s="10" t="n">
        <f aca="false">SUMIF(Registry!$E$2:$E$301,B12,Registry!$H$2:$H$301)</f>
        <v>48</v>
      </c>
      <c r="G12" s="11" t="n">
        <f aca="false">IFERROR(COUNTIFS(Registry!$E$2:$E$301,B12,Registry!$M$2:$M$301,"Verified")/C12,0)</f>
        <v>0.620689655172414</v>
      </c>
    </row>
    <row r="13" customFormat="false" ht="15" hidden="false" customHeight="false" outlineLevel="0" collapsed="false">
      <c r="B13" s="9" t="s">
        <v>17</v>
      </c>
      <c r="C13" s="10" t="n">
        <f aca="false">COUNTIF(Registry!$E$2:$E$301,B13)</f>
        <v>58</v>
      </c>
      <c r="D13" s="10" t="n">
        <f aca="false">SUMIF(Registry!$E$2:$E$301,B13,Registry!$G$2:$G$301)</f>
        <v>369</v>
      </c>
      <c r="E13" s="10" t="n">
        <f aca="false">COUNTIFS(Registry!$E$2:$E$301,B13,Registry!$O$2:$O$301,"High")</f>
        <v>9</v>
      </c>
      <c r="F13" s="10" t="n">
        <f aca="false">SUMIF(Registry!$E$2:$E$301,B13,Registry!$H$2:$H$301)</f>
        <v>53</v>
      </c>
      <c r="G13" s="11" t="n">
        <f aca="false">IFERROR(COUNTIFS(Registry!$E$2:$E$301,B13,Registry!$M$2:$M$301,"Verified")/C13,0)</f>
        <v>0.53448275862069</v>
      </c>
    </row>
    <row r="14" customFormat="false" ht="15" hidden="false" customHeight="false" outlineLevel="0" collapsed="false">
      <c r="B14" s="9" t="s">
        <v>18</v>
      </c>
      <c r="C14" s="10" t="n">
        <f aca="false">COUNTIF(Registry!$E$2:$E$301,B14)</f>
        <v>52</v>
      </c>
      <c r="D14" s="10" t="n">
        <f aca="false">SUMIF(Registry!$E$2:$E$301,B14,Registry!$G$2:$G$301)</f>
        <v>341</v>
      </c>
      <c r="E14" s="10" t="n">
        <f aca="false">COUNTIFS(Registry!$E$2:$E$301,B14,Registry!$O$2:$O$301,"High")</f>
        <v>7</v>
      </c>
      <c r="F14" s="10" t="n">
        <f aca="false">SUMIF(Registry!$E$2:$E$301,B14,Registry!$H$2:$H$301)</f>
        <v>46</v>
      </c>
      <c r="G14" s="11" t="n">
        <f aca="false">IFERROR(COUNTIFS(Registry!$E$2:$E$301,B14,Registry!$M$2:$M$301,"Verified")/C14,0)</f>
        <v>0.538461538461538</v>
      </c>
    </row>
    <row r="15" customFormat="false" ht="15" hidden="false" customHeight="false" outlineLevel="0" collapsed="false">
      <c r="B15" s="12" t="s">
        <v>19</v>
      </c>
      <c r="C15" s="13" t="n">
        <f aca="false">SUM(C10:C14)</f>
        <v>300</v>
      </c>
      <c r="D15" s="13" t="n">
        <f aca="false">SUM(D10:D14)</f>
        <v>1852</v>
      </c>
      <c r="E15" s="13" t="n">
        <f aca="false">SUM(E10:E14)</f>
        <v>39</v>
      </c>
      <c r="F15" s="13" t="n">
        <f aca="false">SUM(F10:F14)</f>
        <v>254</v>
      </c>
      <c r="G15" s="14" t="n">
        <f aca="false">IFERROR(COUNTIF(Registry!$M$2:$M$301,"Verified")/C15,0)</f>
        <v>0.573333333333333</v>
      </c>
    </row>
    <row r="17" customFormat="false" ht="15" hidden="false" customHeight="false" outlineLevel="0" collapsed="false">
      <c r="B17" s="7" t="s">
        <v>20</v>
      </c>
    </row>
    <row r="18" customFormat="false" ht="15" hidden="false" customHeight="false" outlineLevel="0" collapsed="false">
      <c r="B18" s="8" t="s">
        <v>21</v>
      </c>
      <c r="C18" s="8" t="s">
        <v>10</v>
      </c>
      <c r="D18" s="8" t="s">
        <v>22</v>
      </c>
    </row>
    <row r="19" customFormat="false" ht="15" hidden="false" customHeight="false" outlineLevel="0" collapsed="false">
      <c r="B19" s="15" t="s">
        <v>23</v>
      </c>
      <c r="C19" s="15" t="n">
        <f aca="false">COUNTIF(Registry!$O$2:$O$301,B19)</f>
        <v>39</v>
      </c>
      <c r="D19" s="11" t="n">
        <f aca="false">IFERROR(C19/SUM($C$19:$C$21),0)</f>
        <v>0.13</v>
      </c>
    </row>
    <row r="20" customFormat="false" ht="15" hidden="false" customHeight="false" outlineLevel="0" collapsed="false">
      <c r="B20" s="15" t="s">
        <v>24</v>
      </c>
      <c r="C20" s="15" t="n">
        <f aca="false">COUNTIF(Registry!$O$2:$O$301,B20)</f>
        <v>178</v>
      </c>
      <c r="D20" s="11" t="n">
        <f aca="false">IFERROR(C20/SUM($C$19:$C$21),0)</f>
        <v>0.593333333333333</v>
      </c>
    </row>
    <row r="21" customFormat="false" ht="15" hidden="false" customHeight="false" outlineLevel="0" collapsed="false">
      <c r="B21" s="15" t="s">
        <v>25</v>
      </c>
      <c r="C21" s="15" t="n">
        <f aca="false">COUNTIF(Registry!$O$2:$O$301,B21)</f>
        <v>83</v>
      </c>
      <c r="D21" s="11" t="n">
        <f aca="false">IFERROR(C21/SUM($C$19:$C$21),0)</f>
        <v>0.276666666666667</v>
      </c>
    </row>
    <row r="23" customFormat="false" ht="15" hidden="false" customHeight="false" outlineLevel="0" collapsed="false">
      <c r="B23" s="16" t="s">
        <v>26</v>
      </c>
    </row>
    <row r="24" customFormat="false" ht="15" hidden="false" customHeight="false" outlineLevel="0" collapsed="false">
      <c r="B24" s="17" t="s">
        <v>27</v>
      </c>
    </row>
    <row r="25" customFormat="false" ht="15" hidden="false" customHeight="false" outlineLevel="0" collapsed="false">
      <c r="B25" s="17" t="s">
        <v>28</v>
      </c>
    </row>
    <row r="26" customFormat="false" ht="15" hidden="false" customHeight="false" outlineLevel="0" collapsed="false">
      <c r="B26" s="17" t="s">
        <v>29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3" min="12" style="0" width="16"/>
    <col collapsed="false" customWidth="true" hidden="false" outlineLevel="0" max="14" min="14" style="0" width="13"/>
    <col collapsed="false" customWidth="true" hidden="false" outlineLevel="0" max="15" min="15" style="0" width="11"/>
  </cols>
  <sheetData>
    <row r="1" customFormat="false" ht="31.5" hidden="false" customHeight="true" outlineLevel="0" collapsed="false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9</v>
      </c>
      <c r="F1" s="18" t="s">
        <v>34</v>
      </c>
      <c r="G1" s="18" t="s">
        <v>35</v>
      </c>
      <c r="H1" s="18" t="s">
        <v>12</v>
      </c>
      <c r="I1" s="18" t="s">
        <v>36</v>
      </c>
      <c r="J1" s="18" t="s">
        <v>37</v>
      </c>
      <c r="K1" s="18" t="s">
        <v>38</v>
      </c>
      <c r="L1" s="18" t="s">
        <v>39</v>
      </c>
      <c r="M1" s="18" t="s">
        <v>40</v>
      </c>
      <c r="N1" s="18" t="s">
        <v>41</v>
      </c>
      <c r="O1" s="18" t="s">
        <v>21</v>
      </c>
    </row>
    <row r="2" customFormat="false" ht="15" hidden="false" customHeight="false" outlineLevel="0" collapsed="false">
      <c r="A2" s="19" t="s">
        <v>42</v>
      </c>
      <c r="B2" s="20" t="s">
        <v>43</v>
      </c>
      <c r="C2" s="19" t="s">
        <v>44</v>
      </c>
      <c r="D2" s="19" t="n">
        <v>21</v>
      </c>
      <c r="E2" s="19" t="s">
        <v>14</v>
      </c>
      <c r="F2" s="19" t="s">
        <v>45</v>
      </c>
      <c r="G2" s="19" t="n">
        <v>4</v>
      </c>
      <c r="H2" s="19" t="n">
        <v>0</v>
      </c>
      <c r="I2" s="19" t="n">
        <v>0</v>
      </c>
      <c r="J2" s="19" t="n">
        <v>0</v>
      </c>
      <c r="K2" s="19" t="s">
        <v>46</v>
      </c>
      <c r="L2" s="21" t="n">
        <v>46293</v>
      </c>
      <c r="M2" s="19" t="s">
        <v>47</v>
      </c>
      <c r="N2" s="22" t="n">
        <f aca="false">MIN(10,H2+I2+2*J2+IF(C2="Female",1,0)+IF(G2&gt;=7,2,IF(G2&gt;=5,1,0))+IF(F2="Tent",1,0))</f>
        <v>1</v>
      </c>
      <c r="O2" s="19" t="str">
        <f aca="false">IF(N2&gt;=6,"High",IF(N2&gt;=3,"Medium","Low"))</f>
        <v>Low</v>
      </c>
    </row>
    <row r="3" customFormat="false" ht="15" hidden="false" customHeight="false" outlineLevel="0" collapsed="false">
      <c r="A3" s="19" t="s">
        <v>48</v>
      </c>
      <c r="B3" s="20" t="s">
        <v>49</v>
      </c>
      <c r="C3" s="19" t="s">
        <v>44</v>
      </c>
      <c r="D3" s="19" t="n">
        <v>67</v>
      </c>
      <c r="E3" s="19" t="s">
        <v>15</v>
      </c>
      <c r="F3" s="19" t="s">
        <v>50</v>
      </c>
      <c r="G3" s="19" t="n">
        <v>8</v>
      </c>
      <c r="H3" s="19" t="n">
        <v>1</v>
      </c>
      <c r="I3" s="19" t="n">
        <v>0</v>
      </c>
      <c r="J3" s="19" t="n">
        <v>0</v>
      </c>
      <c r="K3" s="19" t="s">
        <v>51</v>
      </c>
      <c r="L3" s="21" t="n">
        <v>46266</v>
      </c>
      <c r="M3" s="19" t="s">
        <v>47</v>
      </c>
      <c r="N3" s="22" t="n">
        <f aca="false">MIN(10,H3+I3+2*J3+IF(C3="Female",1,0)+IF(G3&gt;=7,2,IF(G3&gt;=5,1,0))+IF(F3="Tent",1,0))</f>
        <v>3</v>
      </c>
      <c r="O3" s="19" t="str">
        <f aca="false">IF(N3&gt;=6,"High",IF(N3&gt;=3,"Medium","Low"))</f>
        <v>Medium</v>
      </c>
    </row>
    <row r="4" customFormat="false" ht="15" hidden="false" customHeight="false" outlineLevel="0" collapsed="false">
      <c r="A4" s="19" t="s">
        <v>52</v>
      </c>
      <c r="B4" s="20" t="s">
        <v>53</v>
      </c>
      <c r="C4" s="19" t="s">
        <v>54</v>
      </c>
      <c r="D4" s="19" t="n">
        <v>53</v>
      </c>
      <c r="E4" s="19" t="s">
        <v>14</v>
      </c>
      <c r="F4" s="19" t="s">
        <v>55</v>
      </c>
      <c r="G4" s="19" t="n">
        <v>3</v>
      </c>
      <c r="H4" s="19" t="n">
        <v>0</v>
      </c>
      <c r="I4" s="19" t="n">
        <v>0</v>
      </c>
      <c r="J4" s="19" t="n">
        <v>0</v>
      </c>
      <c r="K4" s="19" t="s">
        <v>56</v>
      </c>
      <c r="L4" s="21" t="n">
        <v>46295</v>
      </c>
      <c r="M4" s="19" t="s">
        <v>47</v>
      </c>
      <c r="N4" s="22" t="n">
        <f aca="false">MIN(10,H4+I4+2*J4+IF(C4="Female",1,0)+IF(G4&gt;=7,2,IF(G4&gt;=5,1,0))+IF(F4="Tent",1,0))</f>
        <v>1</v>
      </c>
      <c r="O4" s="19" t="str">
        <f aca="false">IF(N4&gt;=6,"High",IF(N4&gt;=3,"Medium","Low"))</f>
        <v>Low</v>
      </c>
    </row>
    <row r="5" customFormat="false" ht="15" hidden="false" customHeight="false" outlineLevel="0" collapsed="false">
      <c r="A5" s="19" t="s">
        <v>57</v>
      </c>
      <c r="B5" s="20" t="s">
        <v>58</v>
      </c>
      <c r="C5" s="19" t="s">
        <v>44</v>
      </c>
      <c r="D5" s="19" t="n">
        <v>74</v>
      </c>
      <c r="E5" s="19" t="s">
        <v>14</v>
      </c>
      <c r="F5" s="19" t="s">
        <v>45</v>
      </c>
      <c r="G5" s="19" t="n">
        <v>6</v>
      </c>
      <c r="H5" s="19" t="n">
        <v>1</v>
      </c>
      <c r="I5" s="19" t="n">
        <v>0</v>
      </c>
      <c r="J5" s="19" t="n">
        <v>0</v>
      </c>
      <c r="K5" s="19" t="s">
        <v>59</v>
      </c>
      <c r="L5" s="21" t="n">
        <v>46280</v>
      </c>
      <c r="M5" s="19" t="s">
        <v>47</v>
      </c>
      <c r="N5" s="22" t="n">
        <f aca="false">MIN(10,H5+I5+2*J5+IF(C5="Female",1,0)+IF(G5&gt;=7,2,IF(G5&gt;=5,1,0))+IF(F5="Tent",1,0))</f>
        <v>3</v>
      </c>
      <c r="O5" s="19" t="str">
        <f aca="false">IF(N5&gt;=6,"High",IF(N5&gt;=3,"Medium","Low"))</f>
        <v>Medium</v>
      </c>
    </row>
    <row r="6" customFormat="false" ht="15" hidden="false" customHeight="false" outlineLevel="0" collapsed="false">
      <c r="A6" s="19" t="s">
        <v>60</v>
      </c>
      <c r="B6" s="20" t="s">
        <v>61</v>
      </c>
      <c r="C6" s="19" t="s">
        <v>44</v>
      </c>
      <c r="D6" s="19" t="n">
        <v>53</v>
      </c>
      <c r="E6" s="19" t="s">
        <v>15</v>
      </c>
      <c r="F6" s="19" t="s">
        <v>45</v>
      </c>
      <c r="G6" s="19" t="n">
        <v>5</v>
      </c>
      <c r="H6" s="19" t="n">
        <v>1</v>
      </c>
      <c r="I6" s="19" t="n">
        <v>1</v>
      </c>
      <c r="J6" s="19" t="n">
        <v>0</v>
      </c>
      <c r="K6" s="19" t="s">
        <v>62</v>
      </c>
      <c r="L6" s="21" t="n">
        <v>46276</v>
      </c>
      <c r="M6" s="19" t="s">
        <v>47</v>
      </c>
      <c r="N6" s="22" t="n">
        <f aca="false">MIN(10,H6+I6+2*J6+IF(C6="Female",1,0)+IF(G6&gt;=7,2,IF(G6&gt;=5,1,0))+IF(F6="Tent",1,0))</f>
        <v>4</v>
      </c>
      <c r="O6" s="19" t="str">
        <f aca="false">IF(N6&gt;=6,"High",IF(N6&gt;=3,"Medium","Low"))</f>
        <v>Medium</v>
      </c>
    </row>
    <row r="7" customFormat="false" ht="15" hidden="false" customHeight="false" outlineLevel="0" collapsed="false">
      <c r="A7" s="19" t="s">
        <v>63</v>
      </c>
      <c r="B7" s="20" t="s">
        <v>64</v>
      </c>
      <c r="C7" s="19" t="s">
        <v>44</v>
      </c>
      <c r="D7" s="19" t="n">
        <v>36</v>
      </c>
      <c r="E7" s="19" t="s">
        <v>14</v>
      </c>
      <c r="F7" s="19" t="s">
        <v>45</v>
      </c>
      <c r="G7" s="19" t="n">
        <v>7</v>
      </c>
      <c r="H7" s="19" t="n">
        <v>2</v>
      </c>
      <c r="I7" s="19" t="n">
        <v>1</v>
      </c>
      <c r="J7" s="19" t="n">
        <v>0</v>
      </c>
      <c r="K7" s="19" t="s">
        <v>65</v>
      </c>
      <c r="L7" s="21" t="n">
        <v>46291</v>
      </c>
      <c r="M7" s="19" t="s">
        <v>66</v>
      </c>
      <c r="N7" s="22" t="n">
        <f aca="false">MIN(10,H7+I7+2*J7+IF(C7="Female",1,0)+IF(G7&gt;=7,2,IF(G7&gt;=5,1,0))+IF(F7="Tent",1,0))</f>
        <v>6</v>
      </c>
      <c r="O7" s="19" t="str">
        <f aca="false">IF(N7&gt;=6,"High",IF(N7&gt;=3,"Medium","Low"))</f>
        <v>High</v>
      </c>
    </row>
    <row r="8" customFormat="false" ht="15" hidden="false" customHeight="false" outlineLevel="0" collapsed="false">
      <c r="A8" s="19" t="s">
        <v>67</v>
      </c>
      <c r="B8" s="20" t="s">
        <v>68</v>
      </c>
      <c r="C8" s="19" t="s">
        <v>44</v>
      </c>
      <c r="D8" s="19" t="n">
        <v>53</v>
      </c>
      <c r="E8" s="19" t="s">
        <v>16</v>
      </c>
      <c r="F8" s="19" t="s">
        <v>50</v>
      </c>
      <c r="G8" s="19" t="n">
        <v>7</v>
      </c>
      <c r="H8" s="19" t="n">
        <v>0</v>
      </c>
      <c r="I8" s="19" t="n">
        <v>1</v>
      </c>
      <c r="J8" s="19" t="n">
        <v>0</v>
      </c>
      <c r="K8" s="19" t="s">
        <v>69</v>
      </c>
      <c r="L8" s="21" t="n">
        <v>46301</v>
      </c>
      <c r="M8" s="19" t="s">
        <v>47</v>
      </c>
      <c r="N8" s="22" t="n">
        <f aca="false">MIN(10,H8+I8+2*J8+IF(C8="Female",1,0)+IF(G8&gt;=7,2,IF(G8&gt;=5,1,0))+IF(F8="Tent",1,0))</f>
        <v>3</v>
      </c>
      <c r="O8" s="19" t="str">
        <f aca="false">IF(N8&gt;=6,"High",IF(N8&gt;=3,"Medium","Low"))</f>
        <v>Medium</v>
      </c>
    </row>
    <row r="9" customFormat="false" ht="15" hidden="false" customHeight="false" outlineLevel="0" collapsed="false">
      <c r="A9" s="19" t="s">
        <v>70</v>
      </c>
      <c r="B9" s="20" t="s">
        <v>71</v>
      </c>
      <c r="C9" s="19" t="s">
        <v>44</v>
      </c>
      <c r="D9" s="19" t="n">
        <v>69</v>
      </c>
      <c r="E9" s="19" t="s">
        <v>17</v>
      </c>
      <c r="F9" s="19" t="s">
        <v>72</v>
      </c>
      <c r="G9" s="19" t="n">
        <v>11</v>
      </c>
      <c r="H9" s="19" t="n">
        <v>0</v>
      </c>
      <c r="I9" s="19" t="n">
        <v>0</v>
      </c>
      <c r="J9" s="19" t="n">
        <v>0</v>
      </c>
      <c r="K9" s="19" t="s">
        <v>73</v>
      </c>
      <c r="L9" s="21" t="n">
        <v>46276</v>
      </c>
      <c r="M9" s="19" t="s">
        <v>47</v>
      </c>
      <c r="N9" s="22" t="n">
        <f aca="false">MIN(10,H9+I9+2*J9+IF(C9="Female",1,0)+IF(G9&gt;=7,2,IF(G9&gt;=5,1,0))+IF(F9="Tent",1,0))</f>
        <v>2</v>
      </c>
      <c r="O9" s="19" t="str">
        <f aca="false">IF(N9&gt;=6,"High",IF(N9&gt;=3,"Medium","Low"))</f>
        <v>Low</v>
      </c>
    </row>
    <row r="10" customFormat="false" ht="15" hidden="false" customHeight="false" outlineLevel="0" collapsed="false">
      <c r="A10" s="19" t="s">
        <v>74</v>
      </c>
      <c r="B10" s="20" t="s">
        <v>75</v>
      </c>
      <c r="C10" s="19" t="s">
        <v>44</v>
      </c>
      <c r="D10" s="19" t="n">
        <v>68</v>
      </c>
      <c r="E10" s="19" t="s">
        <v>16</v>
      </c>
      <c r="F10" s="19" t="s">
        <v>45</v>
      </c>
      <c r="G10" s="19" t="n">
        <v>4</v>
      </c>
      <c r="H10" s="19" t="n">
        <v>1</v>
      </c>
      <c r="I10" s="19" t="n">
        <v>2</v>
      </c>
      <c r="J10" s="19" t="n">
        <v>0</v>
      </c>
      <c r="K10" s="19" t="s">
        <v>76</v>
      </c>
      <c r="L10" s="21" t="n">
        <v>46283</v>
      </c>
      <c r="M10" s="19" t="s">
        <v>47</v>
      </c>
      <c r="N10" s="22" t="n">
        <f aca="false">MIN(10,H10+I10+2*J10+IF(C10="Female",1,0)+IF(G10&gt;=7,2,IF(G10&gt;=5,1,0))+IF(F10="Tent",1,0))</f>
        <v>4</v>
      </c>
      <c r="O10" s="19" t="str">
        <f aca="false">IF(N10&gt;=6,"High",IF(N10&gt;=3,"Medium","Low"))</f>
        <v>Medium</v>
      </c>
    </row>
    <row r="11" customFormat="false" ht="15" hidden="false" customHeight="false" outlineLevel="0" collapsed="false">
      <c r="A11" s="19" t="s">
        <v>77</v>
      </c>
      <c r="B11" s="20" t="s">
        <v>78</v>
      </c>
      <c r="C11" s="19" t="s">
        <v>44</v>
      </c>
      <c r="D11" s="19" t="n">
        <v>42</v>
      </c>
      <c r="E11" s="19" t="s">
        <v>15</v>
      </c>
      <c r="F11" s="19" t="s">
        <v>72</v>
      </c>
      <c r="G11" s="19" t="n">
        <v>8</v>
      </c>
      <c r="H11" s="19" t="n">
        <v>1</v>
      </c>
      <c r="I11" s="19" t="n">
        <v>0</v>
      </c>
      <c r="J11" s="19" t="n">
        <v>0</v>
      </c>
      <c r="K11" s="19" t="s">
        <v>79</v>
      </c>
      <c r="L11" s="21" t="n">
        <v>46275</v>
      </c>
      <c r="M11" s="19" t="s">
        <v>80</v>
      </c>
      <c r="N11" s="22" t="n">
        <f aca="false">MIN(10,H11+I11+2*J11+IF(C11="Female",1,0)+IF(G11&gt;=7,2,IF(G11&gt;=5,1,0))+IF(F11="Tent",1,0))</f>
        <v>3</v>
      </c>
      <c r="O11" s="19" t="str">
        <f aca="false">IF(N11&gt;=6,"High",IF(N11&gt;=3,"Medium","Low"))</f>
        <v>Medium</v>
      </c>
    </row>
    <row r="12" customFormat="false" ht="15" hidden="false" customHeight="false" outlineLevel="0" collapsed="false">
      <c r="A12" s="19" t="s">
        <v>81</v>
      </c>
      <c r="B12" s="20" t="s">
        <v>82</v>
      </c>
      <c r="C12" s="19" t="s">
        <v>44</v>
      </c>
      <c r="D12" s="19" t="n">
        <v>75</v>
      </c>
      <c r="E12" s="19" t="s">
        <v>18</v>
      </c>
      <c r="F12" s="19" t="s">
        <v>55</v>
      </c>
      <c r="G12" s="19" t="n">
        <v>5</v>
      </c>
      <c r="H12" s="19" t="n">
        <v>0</v>
      </c>
      <c r="I12" s="19" t="n">
        <v>1</v>
      </c>
      <c r="J12" s="19" t="n">
        <v>1</v>
      </c>
      <c r="K12" s="19" t="s">
        <v>83</v>
      </c>
      <c r="L12" s="21" t="n">
        <v>46281</v>
      </c>
      <c r="M12" s="19" t="s">
        <v>47</v>
      </c>
      <c r="N12" s="22" t="n">
        <f aca="false">MIN(10,H12+I12+2*J12+IF(C12="Female",1,0)+IF(G12&gt;=7,2,IF(G12&gt;=5,1,0))+IF(F12="Tent",1,0))</f>
        <v>4</v>
      </c>
      <c r="O12" s="19" t="str">
        <f aca="false">IF(N12&gt;=6,"High",IF(N12&gt;=3,"Medium","Low"))</f>
        <v>Medium</v>
      </c>
    </row>
    <row r="13" customFormat="false" ht="15" hidden="false" customHeight="false" outlineLevel="0" collapsed="false">
      <c r="A13" s="19" t="s">
        <v>84</v>
      </c>
      <c r="B13" s="20" t="s">
        <v>85</v>
      </c>
      <c r="C13" s="19" t="s">
        <v>44</v>
      </c>
      <c r="D13" s="19" t="n">
        <v>46</v>
      </c>
      <c r="E13" s="19" t="s">
        <v>15</v>
      </c>
      <c r="F13" s="19" t="s">
        <v>55</v>
      </c>
      <c r="G13" s="19" t="n">
        <v>8</v>
      </c>
      <c r="H13" s="19" t="n">
        <v>0</v>
      </c>
      <c r="I13" s="19" t="n">
        <v>0</v>
      </c>
      <c r="J13" s="19" t="n">
        <v>0</v>
      </c>
      <c r="K13" s="19" t="s">
        <v>86</v>
      </c>
      <c r="L13" s="21" t="n">
        <v>46304</v>
      </c>
      <c r="M13" s="19" t="s">
        <v>80</v>
      </c>
      <c r="N13" s="22" t="n">
        <f aca="false">MIN(10,H13+I13+2*J13+IF(C13="Female",1,0)+IF(G13&gt;=7,2,IF(G13&gt;=5,1,0))+IF(F13="Tent",1,0))</f>
        <v>2</v>
      </c>
      <c r="O13" s="19" t="str">
        <f aca="false">IF(N13&gt;=6,"High",IF(N13&gt;=3,"Medium","Low"))</f>
        <v>Low</v>
      </c>
    </row>
    <row r="14" customFormat="false" ht="15" hidden="false" customHeight="false" outlineLevel="0" collapsed="false">
      <c r="A14" s="19" t="s">
        <v>87</v>
      </c>
      <c r="B14" s="20" t="s">
        <v>88</v>
      </c>
      <c r="C14" s="19" t="s">
        <v>44</v>
      </c>
      <c r="D14" s="19" t="n">
        <v>40</v>
      </c>
      <c r="E14" s="19" t="s">
        <v>14</v>
      </c>
      <c r="F14" s="19" t="s">
        <v>72</v>
      </c>
      <c r="G14" s="19" t="n">
        <v>11</v>
      </c>
      <c r="H14" s="19" t="n">
        <v>1</v>
      </c>
      <c r="I14" s="19" t="n">
        <v>0</v>
      </c>
      <c r="J14" s="19" t="n">
        <v>0</v>
      </c>
      <c r="K14" s="19" t="s">
        <v>89</v>
      </c>
      <c r="L14" s="21" t="n">
        <v>46270</v>
      </c>
      <c r="M14" s="19" t="s">
        <v>47</v>
      </c>
      <c r="N14" s="22" t="n">
        <f aca="false">MIN(10,H14+I14+2*J14+IF(C14="Female",1,0)+IF(G14&gt;=7,2,IF(G14&gt;=5,1,0))+IF(F14="Tent",1,0))</f>
        <v>3</v>
      </c>
      <c r="O14" s="19" t="str">
        <f aca="false">IF(N14&gt;=6,"High",IF(N14&gt;=3,"Medium","Low"))</f>
        <v>Medium</v>
      </c>
    </row>
    <row r="15" customFormat="false" ht="15" hidden="false" customHeight="false" outlineLevel="0" collapsed="false">
      <c r="A15" s="19" t="s">
        <v>90</v>
      </c>
      <c r="B15" s="20" t="s">
        <v>91</v>
      </c>
      <c r="C15" s="19" t="s">
        <v>54</v>
      </c>
      <c r="D15" s="19" t="n">
        <v>32</v>
      </c>
      <c r="E15" s="19" t="s">
        <v>18</v>
      </c>
      <c r="F15" s="19" t="s">
        <v>45</v>
      </c>
      <c r="G15" s="19" t="n">
        <v>4</v>
      </c>
      <c r="H15" s="19" t="n">
        <v>2</v>
      </c>
      <c r="I15" s="19" t="n">
        <v>1</v>
      </c>
      <c r="J15" s="19" t="n">
        <v>0</v>
      </c>
      <c r="K15" s="19" t="s">
        <v>92</v>
      </c>
      <c r="L15" s="21" t="n">
        <v>46297</v>
      </c>
      <c r="M15" s="19" t="s">
        <v>66</v>
      </c>
      <c r="N15" s="22" t="n">
        <f aca="false">MIN(10,H15+I15+2*J15+IF(C15="Female",1,0)+IF(G15&gt;=7,2,IF(G15&gt;=5,1,0))+IF(F15="Tent",1,0))</f>
        <v>5</v>
      </c>
      <c r="O15" s="19" t="str">
        <f aca="false">IF(N15&gt;=6,"High",IF(N15&gt;=3,"Medium","Low"))</f>
        <v>Medium</v>
      </c>
    </row>
    <row r="16" customFormat="false" ht="15" hidden="false" customHeight="false" outlineLevel="0" collapsed="false">
      <c r="A16" s="19" t="s">
        <v>93</v>
      </c>
      <c r="B16" s="20" t="s">
        <v>94</v>
      </c>
      <c r="C16" s="19" t="s">
        <v>44</v>
      </c>
      <c r="D16" s="19" t="n">
        <v>48</v>
      </c>
      <c r="E16" s="19" t="s">
        <v>14</v>
      </c>
      <c r="F16" s="19" t="s">
        <v>50</v>
      </c>
      <c r="G16" s="19" t="n">
        <v>8</v>
      </c>
      <c r="H16" s="19" t="n">
        <v>2</v>
      </c>
      <c r="I16" s="19" t="n">
        <v>0</v>
      </c>
      <c r="J16" s="19" t="n">
        <v>0</v>
      </c>
      <c r="K16" s="19" t="s">
        <v>95</v>
      </c>
      <c r="L16" s="21" t="n">
        <v>46292</v>
      </c>
      <c r="M16" s="19" t="s">
        <v>66</v>
      </c>
      <c r="N16" s="22" t="n">
        <f aca="false">MIN(10,H16+I16+2*J16+IF(C16="Female",1,0)+IF(G16&gt;=7,2,IF(G16&gt;=5,1,0))+IF(F16="Tent",1,0))</f>
        <v>4</v>
      </c>
      <c r="O16" s="19" t="str">
        <f aca="false">IF(N16&gt;=6,"High",IF(N16&gt;=3,"Medium","Low"))</f>
        <v>Medium</v>
      </c>
    </row>
    <row r="17" customFormat="false" ht="15" hidden="false" customHeight="false" outlineLevel="0" collapsed="false">
      <c r="A17" s="19" t="s">
        <v>96</v>
      </c>
      <c r="B17" s="20" t="s">
        <v>97</v>
      </c>
      <c r="C17" s="19" t="s">
        <v>54</v>
      </c>
      <c r="D17" s="19" t="n">
        <v>48</v>
      </c>
      <c r="E17" s="19" t="s">
        <v>15</v>
      </c>
      <c r="F17" s="19" t="s">
        <v>55</v>
      </c>
      <c r="G17" s="19" t="n">
        <v>9</v>
      </c>
      <c r="H17" s="19" t="n">
        <v>0</v>
      </c>
      <c r="I17" s="19" t="n">
        <v>0</v>
      </c>
      <c r="J17" s="19" t="n">
        <v>0</v>
      </c>
      <c r="K17" s="19" t="s">
        <v>98</v>
      </c>
      <c r="L17" s="21" t="n">
        <v>46283</v>
      </c>
      <c r="M17" s="19" t="s">
        <v>47</v>
      </c>
      <c r="N17" s="22" t="n">
        <f aca="false">MIN(10,H17+I17+2*J17+IF(C17="Female",1,0)+IF(G17&gt;=7,2,IF(G17&gt;=5,1,0))+IF(F17="Tent",1,0))</f>
        <v>3</v>
      </c>
      <c r="O17" s="19" t="str">
        <f aca="false">IF(N17&gt;=6,"High",IF(N17&gt;=3,"Medium","Low"))</f>
        <v>Medium</v>
      </c>
    </row>
    <row r="18" customFormat="false" ht="15" hidden="false" customHeight="false" outlineLevel="0" collapsed="false">
      <c r="A18" s="19" t="s">
        <v>99</v>
      </c>
      <c r="B18" s="20" t="s">
        <v>100</v>
      </c>
      <c r="C18" s="19" t="s">
        <v>44</v>
      </c>
      <c r="D18" s="19" t="n">
        <v>49</v>
      </c>
      <c r="E18" s="19" t="s">
        <v>15</v>
      </c>
      <c r="F18" s="19" t="s">
        <v>55</v>
      </c>
      <c r="G18" s="19" t="n">
        <v>2</v>
      </c>
      <c r="H18" s="19" t="n">
        <v>1</v>
      </c>
      <c r="I18" s="19" t="n">
        <v>1</v>
      </c>
      <c r="J18" s="19" t="n">
        <v>1</v>
      </c>
      <c r="K18" s="19" t="s">
        <v>101</v>
      </c>
      <c r="L18" s="21" t="n">
        <v>46297</v>
      </c>
      <c r="M18" s="19" t="s">
        <v>66</v>
      </c>
      <c r="N18" s="22" t="n">
        <f aca="false">MIN(10,H18+I18+2*J18+IF(C18="Female",1,0)+IF(G18&gt;=7,2,IF(G18&gt;=5,1,0))+IF(F18="Tent",1,0))</f>
        <v>4</v>
      </c>
      <c r="O18" s="19" t="str">
        <f aca="false">IF(N18&gt;=6,"High",IF(N18&gt;=3,"Medium","Low"))</f>
        <v>Medium</v>
      </c>
    </row>
    <row r="19" customFormat="false" ht="15" hidden="false" customHeight="false" outlineLevel="0" collapsed="false">
      <c r="A19" s="19" t="s">
        <v>102</v>
      </c>
      <c r="B19" s="20" t="s">
        <v>103</v>
      </c>
      <c r="C19" s="19" t="s">
        <v>54</v>
      </c>
      <c r="D19" s="19" t="n">
        <v>28</v>
      </c>
      <c r="E19" s="19" t="s">
        <v>15</v>
      </c>
      <c r="F19" s="19" t="s">
        <v>45</v>
      </c>
      <c r="G19" s="19" t="n">
        <v>4</v>
      </c>
      <c r="H19" s="19" t="n">
        <v>2</v>
      </c>
      <c r="I19" s="19" t="n">
        <v>0</v>
      </c>
      <c r="J19" s="19" t="n">
        <v>0</v>
      </c>
      <c r="K19" s="19" t="s">
        <v>104</v>
      </c>
      <c r="L19" s="21" t="n">
        <v>46297</v>
      </c>
      <c r="M19" s="19" t="s">
        <v>66</v>
      </c>
      <c r="N19" s="22" t="n">
        <f aca="false">MIN(10,H19+I19+2*J19+IF(C19="Female",1,0)+IF(G19&gt;=7,2,IF(G19&gt;=5,1,0))+IF(F19="Tent",1,0))</f>
        <v>4</v>
      </c>
      <c r="O19" s="19" t="str">
        <f aca="false">IF(N19&gt;=6,"High",IF(N19&gt;=3,"Medium","Low"))</f>
        <v>Medium</v>
      </c>
    </row>
    <row r="20" customFormat="false" ht="15" hidden="false" customHeight="false" outlineLevel="0" collapsed="false">
      <c r="A20" s="19" t="s">
        <v>105</v>
      </c>
      <c r="B20" s="20" t="s">
        <v>106</v>
      </c>
      <c r="C20" s="19" t="s">
        <v>44</v>
      </c>
      <c r="D20" s="19" t="n">
        <v>24</v>
      </c>
      <c r="E20" s="19" t="s">
        <v>15</v>
      </c>
      <c r="F20" s="19" t="s">
        <v>45</v>
      </c>
      <c r="G20" s="19" t="n">
        <v>8</v>
      </c>
      <c r="H20" s="19" t="n">
        <v>0</v>
      </c>
      <c r="I20" s="19" t="n">
        <v>0</v>
      </c>
      <c r="J20" s="19" t="n">
        <v>0</v>
      </c>
      <c r="K20" s="19" t="s">
        <v>107</v>
      </c>
      <c r="L20" s="21" t="n">
        <v>46298</v>
      </c>
      <c r="M20" s="19" t="s">
        <v>47</v>
      </c>
      <c r="N20" s="22" t="n">
        <f aca="false">MIN(10,H20+I20+2*J20+IF(C20="Female",1,0)+IF(G20&gt;=7,2,IF(G20&gt;=5,1,0))+IF(F20="Tent",1,0))</f>
        <v>3</v>
      </c>
      <c r="O20" s="19" t="str">
        <f aca="false">IF(N20&gt;=6,"High",IF(N20&gt;=3,"Medium","Low"))</f>
        <v>Medium</v>
      </c>
    </row>
    <row r="21" customFormat="false" ht="15" hidden="false" customHeight="false" outlineLevel="0" collapsed="false">
      <c r="A21" s="19" t="s">
        <v>108</v>
      </c>
      <c r="B21" s="20" t="s">
        <v>109</v>
      </c>
      <c r="C21" s="19" t="s">
        <v>44</v>
      </c>
      <c r="D21" s="19" t="n">
        <v>55</v>
      </c>
      <c r="E21" s="19" t="s">
        <v>18</v>
      </c>
      <c r="F21" s="19" t="s">
        <v>45</v>
      </c>
      <c r="G21" s="19" t="n">
        <v>11</v>
      </c>
      <c r="H21" s="19" t="n">
        <v>1</v>
      </c>
      <c r="I21" s="19" t="n">
        <v>0</v>
      </c>
      <c r="J21" s="19" t="n">
        <v>0</v>
      </c>
      <c r="K21" s="19" t="s">
        <v>110</v>
      </c>
      <c r="L21" s="21" t="n">
        <v>46303</v>
      </c>
      <c r="M21" s="19" t="s">
        <v>47</v>
      </c>
      <c r="N21" s="22" t="n">
        <f aca="false">MIN(10,H21+I21+2*J21+IF(C21="Female",1,0)+IF(G21&gt;=7,2,IF(G21&gt;=5,1,0))+IF(F21="Tent",1,0))</f>
        <v>4</v>
      </c>
      <c r="O21" s="19" t="str">
        <f aca="false">IF(N21&gt;=6,"High",IF(N21&gt;=3,"Medium","Low"))</f>
        <v>Medium</v>
      </c>
    </row>
    <row r="22" customFormat="false" ht="15" hidden="false" customHeight="false" outlineLevel="0" collapsed="false">
      <c r="A22" s="19" t="s">
        <v>111</v>
      </c>
      <c r="B22" s="20" t="s">
        <v>112</v>
      </c>
      <c r="C22" s="19" t="s">
        <v>44</v>
      </c>
      <c r="D22" s="19" t="n">
        <v>55</v>
      </c>
      <c r="E22" s="19" t="s">
        <v>14</v>
      </c>
      <c r="F22" s="19" t="s">
        <v>45</v>
      </c>
      <c r="G22" s="19" t="n">
        <v>4</v>
      </c>
      <c r="H22" s="19" t="n">
        <v>0</v>
      </c>
      <c r="I22" s="19" t="n">
        <v>0</v>
      </c>
      <c r="J22" s="19" t="n">
        <v>0</v>
      </c>
      <c r="K22" s="19" t="s">
        <v>113</v>
      </c>
      <c r="L22" s="21" t="n">
        <v>46305</v>
      </c>
      <c r="M22" s="19" t="s">
        <v>47</v>
      </c>
      <c r="N22" s="22" t="n">
        <f aca="false">MIN(10,H22+I22+2*J22+IF(C22="Female",1,0)+IF(G22&gt;=7,2,IF(G22&gt;=5,1,0))+IF(F22="Tent",1,0))</f>
        <v>1</v>
      </c>
      <c r="O22" s="19" t="str">
        <f aca="false">IF(N22&gt;=6,"High",IF(N22&gt;=3,"Medium","Low"))</f>
        <v>Low</v>
      </c>
    </row>
    <row r="23" customFormat="false" ht="15" hidden="false" customHeight="false" outlineLevel="0" collapsed="false">
      <c r="A23" s="19" t="s">
        <v>114</v>
      </c>
      <c r="B23" s="20" t="s">
        <v>115</v>
      </c>
      <c r="C23" s="19" t="s">
        <v>54</v>
      </c>
      <c r="D23" s="19" t="n">
        <v>70</v>
      </c>
      <c r="E23" s="19" t="s">
        <v>18</v>
      </c>
      <c r="F23" s="19" t="s">
        <v>45</v>
      </c>
      <c r="G23" s="19" t="n">
        <v>10</v>
      </c>
      <c r="H23" s="19" t="n">
        <v>2</v>
      </c>
      <c r="I23" s="19" t="n">
        <v>0</v>
      </c>
      <c r="J23" s="19" t="n">
        <v>0</v>
      </c>
      <c r="K23" s="19" t="s">
        <v>116</v>
      </c>
      <c r="L23" s="21" t="n">
        <v>46305</v>
      </c>
      <c r="M23" s="19" t="s">
        <v>80</v>
      </c>
      <c r="N23" s="22" t="n">
        <f aca="false">MIN(10,H23+I23+2*J23+IF(C23="Female",1,0)+IF(G23&gt;=7,2,IF(G23&gt;=5,1,0))+IF(F23="Tent",1,0))</f>
        <v>6</v>
      </c>
      <c r="O23" s="19" t="str">
        <f aca="false">IF(N23&gt;=6,"High",IF(N23&gt;=3,"Medium","Low"))</f>
        <v>High</v>
      </c>
    </row>
    <row r="24" customFormat="false" ht="15" hidden="false" customHeight="false" outlineLevel="0" collapsed="false">
      <c r="A24" s="19" t="s">
        <v>117</v>
      </c>
      <c r="B24" s="20" t="s">
        <v>118</v>
      </c>
      <c r="C24" s="19" t="s">
        <v>44</v>
      </c>
      <c r="D24" s="19" t="n">
        <v>32</v>
      </c>
      <c r="E24" s="19" t="s">
        <v>16</v>
      </c>
      <c r="F24" s="19" t="s">
        <v>72</v>
      </c>
      <c r="G24" s="19" t="n">
        <v>4</v>
      </c>
      <c r="H24" s="19" t="n">
        <v>2</v>
      </c>
      <c r="I24" s="19" t="n">
        <v>1</v>
      </c>
      <c r="J24" s="19" t="n">
        <v>0</v>
      </c>
      <c r="K24" s="19" t="s">
        <v>119</v>
      </c>
      <c r="L24" s="21" t="n">
        <v>46287</v>
      </c>
      <c r="M24" s="19" t="s">
        <v>47</v>
      </c>
      <c r="N24" s="22" t="n">
        <f aca="false">MIN(10,H24+I24+2*J24+IF(C24="Female",1,0)+IF(G24&gt;=7,2,IF(G24&gt;=5,1,0))+IF(F24="Tent",1,0))</f>
        <v>3</v>
      </c>
      <c r="O24" s="19" t="str">
        <f aca="false">IF(N24&gt;=6,"High",IF(N24&gt;=3,"Medium","Low"))</f>
        <v>Medium</v>
      </c>
    </row>
    <row r="25" customFormat="false" ht="15" hidden="false" customHeight="false" outlineLevel="0" collapsed="false">
      <c r="A25" s="19" t="s">
        <v>120</v>
      </c>
      <c r="B25" s="20" t="s">
        <v>121</v>
      </c>
      <c r="C25" s="19" t="s">
        <v>44</v>
      </c>
      <c r="D25" s="19" t="n">
        <v>66</v>
      </c>
      <c r="E25" s="19" t="s">
        <v>17</v>
      </c>
      <c r="F25" s="19" t="s">
        <v>72</v>
      </c>
      <c r="G25" s="19" t="n">
        <v>7</v>
      </c>
      <c r="H25" s="19" t="n">
        <v>2</v>
      </c>
      <c r="I25" s="19" t="n">
        <v>0</v>
      </c>
      <c r="J25" s="19" t="n">
        <v>0</v>
      </c>
      <c r="K25" s="19" t="s">
        <v>122</v>
      </c>
      <c r="L25" s="21" t="n">
        <v>46276</v>
      </c>
      <c r="M25" s="19" t="s">
        <v>47</v>
      </c>
      <c r="N25" s="22" t="n">
        <f aca="false">MIN(10,H25+I25+2*J25+IF(C25="Female",1,0)+IF(G25&gt;=7,2,IF(G25&gt;=5,1,0))+IF(F25="Tent",1,0))</f>
        <v>4</v>
      </c>
      <c r="O25" s="19" t="str">
        <f aca="false">IF(N25&gt;=6,"High",IF(N25&gt;=3,"Medium","Low"))</f>
        <v>Medium</v>
      </c>
    </row>
    <row r="26" customFormat="false" ht="15" hidden="false" customHeight="false" outlineLevel="0" collapsed="false">
      <c r="A26" s="19" t="s">
        <v>123</v>
      </c>
      <c r="B26" s="20" t="s">
        <v>124</v>
      </c>
      <c r="C26" s="19" t="s">
        <v>54</v>
      </c>
      <c r="D26" s="19" t="n">
        <v>76</v>
      </c>
      <c r="E26" s="19" t="s">
        <v>14</v>
      </c>
      <c r="F26" s="19" t="s">
        <v>55</v>
      </c>
      <c r="G26" s="19" t="n">
        <v>6</v>
      </c>
      <c r="H26" s="19" t="n">
        <v>2</v>
      </c>
      <c r="I26" s="19" t="n">
        <v>0</v>
      </c>
      <c r="J26" s="19" t="n">
        <v>0</v>
      </c>
      <c r="K26" s="19" t="s">
        <v>125</v>
      </c>
      <c r="L26" s="21" t="n">
        <v>46289</v>
      </c>
      <c r="M26" s="19" t="s">
        <v>47</v>
      </c>
      <c r="N26" s="22" t="n">
        <f aca="false">MIN(10,H26+I26+2*J26+IF(C26="Female",1,0)+IF(G26&gt;=7,2,IF(G26&gt;=5,1,0))+IF(F26="Tent",1,0))</f>
        <v>4</v>
      </c>
      <c r="O26" s="19" t="str">
        <f aca="false">IF(N26&gt;=6,"High",IF(N26&gt;=3,"Medium","Low"))</f>
        <v>Medium</v>
      </c>
    </row>
    <row r="27" customFormat="false" ht="15" hidden="false" customHeight="false" outlineLevel="0" collapsed="false">
      <c r="A27" s="19" t="s">
        <v>126</v>
      </c>
      <c r="B27" s="20" t="s">
        <v>127</v>
      </c>
      <c r="C27" s="19" t="s">
        <v>54</v>
      </c>
      <c r="D27" s="19" t="n">
        <v>70</v>
      </c>
      <c r="E27" s="19" t="s">
        <v>15</v>
      </c>
      <c r="F27" s="19" t="s">
        <v>55</v>
      </c>
      <c r="G27" s="19" t="n">
        <v>8</v>
      </c>
      <c r="H27" s="19" t="n">
        <v>2</v>
      </c>
      <c r="I27" s="19" t="n">
        <v>0</v>
      </c>
      <c r="J27" s="19" t="n">
        <v>0</v>
      </c>
      <c r="K27" s="19" t="s">
        <v>128</v>
      </c>
      <c r="L27" s="21" t="n">
        <v>46276</v>
      </c>
      <c r="M27" s="19" t="s">
        <v>47</v>
      </c>
      <c r="N27" s="22" t="n">
        <f aca="false">MIN(10,H27+I27+2*J27+IF(C27="Female",1,0)+IF(G27&gt;=7,2,IF(G27&gt;=5,1,0))+IF(F27="Tent",1,0))</f>
        <v>5</v>
      </c>
      <c r="O27" s="19" t="str">
        <f aca="false">IF(N27&gt;=6,"High",IF(N27&gt;=3,"Medium","Low"))</f>
        <v>Medium</v>
      </c>
    </row>
    <row r="28" customFormat="false" ht="15" hidden="false" customHeight="false" outlineLevel="0" collapsed="false">
      <c r="A28" s="19" t="s">
        <v>129</v>
      </c>
      <c r="B28" s="20" t="s">
        <v>130</v>
      </c>
      <c r="C28" s="19" t="s">
        <v>44</v>
      </c>
      <c r="D28" s="19" t="n">
        <v>73</v>
      </c>
      <c r="E28" s="19" t="s">
        <v>17</v>
      </c>
      <c r="F28" s="19" t="s">
        <v>45</v>
      </c>
      <c r="G28" s="19" t="n">
        <v>9</v>
      </c>
      <c r="H28" s="19" t="n">
        <v>2</v>
      </c>
      <c r="I28" s="19" t="n">
        <v>1</v>
      </c>
      <c r="J28" s="19" t="n">
        <v>0</v>
      </c>
      <c r="K28" s="19" t="s">
        <v>131</v>
      </c>
      <c r="L28" s="21" t="n">
        <v>46268</v>
      </c>
      <c r="M28" s="19" t="s">
        <v>80</v>
      </c>
      <c r="N28" s="22" t="n">
        <f aca="false">MIN(10,H28+I28+2*J28+IF(C28="Female",1,0)+IF(G28&gt;=7,2,IF(G28&gt;=5,1,0))+IF(F28="Tent",1,0))</f>
        <v>6</v>
      </c>
      <c r="O28" s="19" t="str">
        <f aca="false">IF(N28&gt;=6,"High",IF(N28&gt;=3,"Medium","Low"))</f>
        <v>High</v>
      </c>
    </row>
    <row r="29" customFormat="false" ht="15" hidden="false" customHeight="false" outlineLevel="0" collapsed="false">
      <c r="A29" s="19" t="s">
        <v>132</v>
      </c>
      <c r="B29" s="20" t="s">
        <v>133</v>
      </c>
      <c r="C29" s="19" t="s">
        <v>44</v>
      </c>
      <c r="D29" s="19" t="n">
        <v>60</v>
      </c>
      <c r="E29" s="19" t="s">
        <v>18</v>
      </c>
      <c r="F29" s="19" t="s">
        <v>45</v>
      </c>
      <c r="G29" s="19" t="n">
        <v>4</v>
      </c>
      <c r="H29" s="19" t="n">
        <v>1</v>
      </c>
      <c r="I29" s="19" t="n">
        <v>0</v>
      </c>
      <c r="J29" s="19" t="n">
        <v>0</v>
      </c>
      <c r="K29" s="19" t="s">
        <v>134</v>
      </c>
      <c r="L29" s="21" t="n">
        <v>46288</v>
      </c>
      <c r="M29" s="19" t="s">
        <v>66</v>
      </c>
      <c r="N29" s="22" t="n">
        <f aca="false">MIN(10,H29+I29+2*J29+IF(C29="Female",1,0)+IF(G29&gt;=7,2,IF(G29&gt;=5,1,0))+IF(F29="Tent",1,0))</f>
        <v>2</v>
      </c>
      <c r="O29" s="19" t="str">
        <f aca="false">IF(N29&gt;=6,"High",IF(N29&gt;=3,"Medium","Low"))</f>
        <v>Low</v>
      </c>
    </row>
    <row r="30" customFormat="false" ht="15" hidden="false" customHeight="false" outlineLevel="0" collapsed="false">
      <c r="A30" s="19" t="s">
        <v>135</v>
      </c>
      <c r="B30" s="20" t="s">
        <v>136</v>
      </c>
      <c r="C30" s="19" t="s">
        <v>44</v>
      </c>
      <c r="D30" s="19" t="n">
        <v>41</v>
      </c>
      <c r="E30" s="19" t="s">
        <v>16</v>
      </c>
      <c r="F30" s="19" t="s">
        <v>45</v>
      </c>
      <c r="G30" s="19" t="n">
        <v>9</v>
      </c>
      <c r="H30" s="19" t="n">
        <v>0</v>
      </c>
      <c r="I30" s="19" t="n">
        <v>0</v>
      </c>
      <c r="J30" s="19" t="n">
        <v>2</v>
      </c>
      <c r="K30" s="19" t="s">
        <v>137</v>
      </c>
      <c r="L30" s="21" t="n">
        <v>46293</v>
      </c>
      <c r="M30" s="19" t="s">
        <v>66</v>
      </c>
      <c r="N30" s="22" t="n">
        <f aca="false">MIN(10,H30+I30+2*J30+IF(C30="Female",1,0)+IF(G30&gt;=7,2,IF(G30&gt;=5,1,0))+IF(F30="Tent",1,0))</f>
        <v>7</v>
      </c>
      <c r="O30" s="19" t="str">
        <f aca="false">IF(N30&gt;=6,"High",IF(N30&gt;=3,"Medium","Low"))</f>
        <v>High</v>
      </c>
    </row>
    <row r="31" customFormat="false" ht="15" hidden="false" customHeight="false" outlineLevel="0" collapsed="false">
      <c r="A31" s="19" t="s">
        <v>138</v>
      </c>
      <c r="B31" s="20" t="s">
        <v>139</v>
      </c>
      <c r="C31" s="19" t="s">
        <v>54</v>
      </c>
      <c r="D31" s="19" t="n">
        <v>42</v>
      </c>
      <c r="E31" s="19" t="s">
        <v>17</v>
      </c>
      <c r="F31" s="19" t="s">
        <v>45</v>
      </c>
      <c r="G31" s="19" t="n">
        <v>4</v>
      </c>
      <c r="H31" s="19" t="n">
        <v>0</v>
      </c>
      <c r="I31" s="19" t="n">
        <v>0</v>
      </c>
      <c r="J31" s="19" t="n">
        <v>0</v>
      </c>
      <c r="K31" s="19" t="s">
        <v>140</v>
      </c>
      <c r="L31" s="21" t="n">
        <v>46278</v>
      </c>
      <c r="M31" s="19" t="s">
        <v>80</v>
      </c>
      <c r="N31" s="22" t="n">
        <f aca="false">MIN(10,H31+I31+2*J31+IF(C31="Female",1,0)+IF(G31&gt;=7,2,IF(G31&gt;=5,1,0))+IF(F31="Tent",1,0))</f>
        <v>2</v>
      </c>
      <c r="O31" s="19" t="str">
        <f aca="false">IF(N31&gt;=6,"High",IF(N31&gt;=3,"Medium","Low"))</f>
        <v>Low</v>
      </c>
    </row>
    <row r="32" customFormat="false" ht="15" hidden="false" customHeight="false" outlineLevel="0" collapsed="false">
      <c r="A32" s="19" t="s">
        <v>141</v>
      </c>
      <c r="B32" s="20" t="s">
        <v>142</v>
      </c>
      <c r="C32" s="19" t="s">
        <v>44</v>
      </c>
      <c r="D32" s="19" t="n">
        <v>27</v>
      </c>
      <c r="E32" s="19" t="s">
        <v>15</v>
      </c>
      <c r="F32" s="19" t="s">
        <v>45</v>
      </c>
      <c r="G32" s="19" t="n">
        <v>8</v>
      </c>
      <c r="H32" s="19" t="n">
        <v>0</v>
      </c>
      <c r="I32" s="19" t="n">
        <v>0</v>
      </c>
      <c r="J32" s="19" t="n">
        <v>0</v>
      </c>
      <c r="K32" s="19" t="s">
        <v>143</v>
      </c>
      <c r="L32" s="21" t="n">
        <v>46301</v>
      </c>
      <c r="M32" s="19" t="s">
        <v>66</v>
      </c>
      <c r="N32" s="22" t="n">
        <f aca="false">MIN(10,H32+I32+2*J32+IF(C32="Female",1,0)+IF(G32&gt;=7,2,IF(G32&gt;=5,1,0))+IF(F32="Tent",1,0))</f>
        <v>3</v>
      </c>
      <c r="O32" s="19" t="str">
        <f aca="false">IF(N32&gt;=6,"High",IF(N32&gt;=3,"Medium","Low"))</f>
        <v>Medium</v>
      </c>
    </row>
    <row r="33" customFormat="false" ht="15" hidden="false" customHeight="false" outlineLevel="0" collapsed="false">
      <c r="A33" s="19" t="s">
        <v>144</v>
      </c>
      <c r="B33" s="20" t="s">
        <v>145</v>
      </c>
      <c r="C33" s="19" t="s">
        <v>44</v>
      </c>
      <c r="D33" s="19" t="n">
        <v>57</v>
      </c>
      <c r="E33" s="19" t="s">
        <v>16</v>
      </c>
      <c r="F33" s="19" t="s">
        <v>72</v>
      </c>
      <c r="G33" s="19" t="n">
        <v>6</v>
      </c>
      <c r="H33" s="19" t="n">
        <v>1</v>
      </c>
      <c r="I33" s="19" t="n">
        <v>1</v>
      </c>
      <c r="J33" s="19" t="n">
        <v>0</v>
      </c>
      <c r="K33" s="19" t="s">
        <v>146</v>
      </c>
      <c r="L33" s="21" t="n">
        <v>46303</v>
      </c>
      <c r="M33" s="19" t="s">
        <v>47</v>
      </c>
      <c r="N33" s="22" t="n">
        <f aca="false">MIN(10,H33+I33+2*J33+IF(C33="Female",1,0)+IF(G33&gt;=7,2,IF(G33&gt;=5,1,0))+IF(F33="Tent",1,0))</f>
        <v>3</v>
      </c>
      <c r="O33" s="19" t="str">
        <f aca="false">IF(N33&gt;=6,"High",IF(N33&gt;=3,"Medium","Low"))</f>
        <v>Medium</v>
      </c>
    </row>
    <row r="34" customFormat="false" ht="15" hidden="false" customHeight="false" outlineLevel="0" collapsed="false">
      <c r="A34" s="19" t="s">
        <v>147</v>
      </c>
      <c r="B34" s="20" t="s">
        <v>148</v>
      </c>
      <c r="C34" s="19" t="s">
        <v>54</v>
      </c>
      <c r="D34" s="19" t="n">
        <v>62</v>
      </c>
      <c r="E34" s="19" t="s">
        <v>16</v>
      </c>
      <c r="F34" s="19" t="s">
        <v>45</v>
      </c>
      <c r="G34" s="19" t="n">
        <v>7</v>
      </c>
      <c r="H34" s="19" t="n">
        <v>0</v>
      </c>
      <c r="I34" s="19" t="n">
        <v>0</v>
      </c>
      <c r="J34" s="19" t="n">
        <v>0</v>
      </c>
      <c r="K34" s="19" t="s">
        <v>149</v>
      </c>
      <c r="L34" s="21" t="n">
        <v>46281</v>
      </c>
      <c r="M34" s="19" t="s">
        <v>47</v>
      </c>
      <c r="N34" s="22" t="n">
        <f aca="false">MIN(10,H34+I34+2*J34+IF(C34="Female",1,0)+IF(G34&gt;=7,2,IF(G34&gt;=5,1,0))+IF(F34="Tent",1,0))</f>
        <v>4</v>
      </c>
      <c r="O34" s="19" t="str">
        <f aca="false">IF(N34&gt;=6,"High",IF(N34&gt;=3,"Medium","Low"))</f>
        <v>Medium</v>
      </c>
    </row>
    <row r="35" customFormat="false" ht="15" hidden="false" customHeight="false" outlineLevel="0" collapsed="false">
      <c r="A35" s="19" t="s">
        <v>150</v>
      </c>
      <c r="B35" s="20" t="s">
        <v>151</v>
      </c>
      <c r="C35" s="19" t="s">
        <v>54</v>
      </c>
      <c r="D35" s="19" t="n">
        <v>50</v>
      </c>
      <c r="E35" s="19" t="s">
        <v>17</v>
      </c>
      <c r="F35" s="19" t="s">
        <v>45</v>
      </c>
      <c r="G35" s="19" t="n">
        <v>7</v>
      </c>
      <c r="H35" s="19" t="n">
        <v>2</v>
      </c>
      <c r="I35" s="19" t="n">
        <v>0</v>
      </c>
      <c r="J35" s="19" t="n">
        <v>1</v>
      </c>
      <c r="K35" s="19" t="s">
        <v>152</v>
      </c>
      <c r="L35" s="21" t="n">
        <v>46290</v>
      </c>
      <c r="M35" s="19" t="s">
        <v>80</v>
      </c>
      <c r="N35" s="22" t="n">
        <f aca="false">MIN(10,H35+I35+2*J35+IF(C35="Female",1,0)+IF(G35&gt;=7,2,IF(G35&gt;=5,1,0))+IF(F35="Tent",1,0))</f>
        <v>8</v>
      </c>
      <c r="O35" s="19" t="str">
        <f aca="false">IF(N35&gt;=6,"High",IF(N35&gt;=3,"Medium","Low"))</f>
        <v>High</v>
      </c>
    </row>
    <row r="36" customFormat="false" ht="15" hidden="false" customHeight="false" outlineLevel="0" collapsed="false">
      <c r="A36" s="19" t="s">
        <v>153</v>
      </c>
      <c r="B36" s="20" t="s">
        <v>154</v>
      </c>
      <c r="C36" s="19" t="s">
        <v>54</v>
      </c>
      <c r="D36" s="19" t="n">
        <v>77</v>
      </c>
      <c r="E36" s="19" t="s">
        <v>14</v>
      </c>
      <c r="F36" s="19" t="s">
        <v>72</v>
      </c>
      <c r="G36" s="19" t="n">
        <v>8</v>
      </c>
      <c r="H36" s="19" t="n">
        <v>0</v>
      </c>
      <c r="I36" s="19" t="n">
        <v>1</v>
      </c>
      <c r="J36" s="19" t="n">
        <v>0</v>
      </c>
      <c r="K36" s="19" t="s">
        <v>155</v>
      </c>
      <c r="L36" s="21" t="n">
        <v>46281</v>
      </c>
      <c r="M36" s="19" t="s">
        <v>80</v>
      </c>
      <c r="N36" s="22" t="n">
        <f aca="false">MIN(10,H36+I36+2*J36+IF(C36="Female",1,0)+IF(G36&gt;=7,2,IF(G36&gt;=5,1,0))+IF(F36="Tent",1,0))</f>
        <v>4</v>
      </c>
      <c r="O36" s="19" t="str">
        <f aca="false">IF(N36&gt;=6,"High",IF(N36&gt;=3,"Medium","Low"))</f>
        <v>Medium</v>
      </c>
    </row>
    <row r="37" customFormat="false" ht="15" hidden="false" customHeight="false" outlineLevel="0" collapsed="false">
      <c r="A37" s="19" t="s">
        <v>156</v>
      </c>
      <c r="B37" s="20" t="s">
        <v>157</v>
      </c>
      <c r="C37" s="19" t="s">
        <v>44</v>
      </c>
      <c r="D37" s="19" t="n">
        <v>47</v>
      </c>
      <c r="E37" s="19" t="s">
        <v>15</v>
      </c>
      <c r="F37" s="19" t="s">
        <v>50</v>
      </c>
      <c r="G37" s="19" t="n">
        <v>5</v>
      </c>
      <c r="H37" s="19" t="n">
        <v>2</v>
      </c>
      <c r="I37" s="19" t="n">
        <v>0</v>
      </c>
      <c r="J37" s="19" t="n">
        <v>0</v>
      </c>
      <c r="K37" s="19" t="s">
        <v>158</v>
      </c>
      <c r="L37" s="21" t="n">
        <v>46301</v>
      </c>
      <c r="M37" s="19" t="s">
        <v>47</v>
      </c>
      <c r="N37" s="22" t="n">
        <f aca="false">MIN(10,H37+I37+2*J37+IF(C37="Female",1,0)+IF(G37&gt;=7,2,IF(G37&gt;=5,1,0))+IF(F37="Tent",1,0))</f>
        <v>3</v>
      </c>
      <c r="O37" s="19" t="str">
        <f aca="false">IF(N37&gt;=6,"High",IF(N37&gt;=3,"Medium","Low"))</f>
        <v>Medium</v>
      </c>
    </row>
    <row r="38" customFormat="false" ht="15" hidden="false" customHeight="false" outlineLevel="0" collapsed="false">
      <c r="A38" s="19" t="s">
        <v>159</v>
      </c>
      <c r="B38" s="20" t="s">
        <v>160</v>
      </c>
      <c r="C38" s="19" t="s">
        <v>54</v>
      </c>
      <c r="D38" s="19" t="n">
        <v>36</v>
      </c>
      <c r="E38" s="19" t="s">
        <v>16</v>
      </c>
      <c r="F38" s="19" t="s">
        <v>45</v>
      </c>
      <c r="G38" s="19" t="n">
        <v>8</v>
      </c>
      <c r="H38" s="19" t="n">
        <v>1</v>
      </c>
      <c r="I38" s="19" t="n">
        <v>0</v>
      </c>
      <c r="J38" s="19" t="n">
        <v>0</v>
      </c>
      <c r="K38" s="19" t="s">
        <v>161</v>
      </c>
      <c r="L38" s="21" t="n">
        <v>46281</v>
      </c>
      <c r="M38" s="19" t="s">
        <v>47</v>
      </c>
      <c r="N38" s="22" t="n">
        <f aca="false">MIN(10,H38+I38+2*J38+IF(C38="Female",1,0)+IF(G38&gt;=7,2,IF(G38&gt;=5,1,0))+IF(F38="Tent",1,0))</f>
        <v>5</v>
      </c>
      <c r="O38" s="19" t="str">
        <f aca="false">IF(N38&gt;=6,"High",IF(N38&gt;=3,"Medium","Low"))</f>
        <v>Medium</v>
      </c>
    </row>
    <row r="39" customFormat="false" ht="15" hidden="false" customHeight="false" outlineLevel="0" collapsed="false">
      <c r="A39" s="19" t="s">
        <v>162</v>
      </c>
      <c r="B39" s="20" t="s">
        <v>163</v>
      </c>
      <c r="C39" s="19" t="s">
        <v>54</v>
      </c>
      <c r="D39" s="19" t="n">
        <v>32</v>
      </c>
      <c r="E39" s="19" t="s">
        <v>17</v>
      </c>
      <c r="F39" s="19" t="s">
        <v>45</v>
      </c>
      <c r="G39" s="19" t="n">
        <v>7</v>
      </c>
      <c r="H39" s="19" t="n">
        <v>1</v>
      </c>
      <c r="I39" s="19" t="n">
        <v>0</v>
      </c>
      <c r="J39" s="19" t="n">
        <v>0</v>
      </c>
      <c r="K39" s="19" t="s">
        <v>164</v>
      </c>
      <c r="L39" s="21" t="n">
        <v>46269</v>
      </c>
      <c r="M39" s="19" t="s">
        <v>80</v>
      </c>
      <c r="N39" s="22" t="n">
        <f aca="false">MIN(10,H39+I39+2*J39+IF(C39="Female",1,0)+IF(G39&gt;=7,2,IF(G39&gt;=5,1,0))+IF(F39="Tent",1,0))</f>
        <v>5</v>
      </c>
      <c r="O39" s="19" t="str">
        <f aca="false">IF(N39&gt;=6,"High",IF(N39&gt;=3,"Medium","Low"))</f>
        <v>Medium</v>
      </c>
    </row>
    <row r="40" customFormat="false" ht="15" hidden="false" customHeight="false" outlineLevel="0" collapsed="false">
      <c r="A40" s="19" t="s">
        <v>165</v>
      </c>
      <c r="B40" s="20" t="s">
        <v>166</v>
      </c>
      <c r="C40" s="19" t="s">
        <v>44</v>
      </c>
      <c r="D40" s="19" t="n">
        <v>70</v>
      </c>
      <c r="E40" s="19" t="s">
        <v>18</v>
      </c>
      <c r="F40" s="19" t="s">
        <v>55</v>
      </c>
      <c r="G40" s="19" t="n">
        <v>5</v>
      </c>
      <c r="H40" s="19" t="n">
        <v>0</v>
      </c>
      <c r="I40" s="19" t="n">
        <v>0</v>
      </c>
      <c r="J40" s="19" t="n">
        <v>0</v>
      </c>
      <c r="K40" s="19" t="s">
        <v>167</v>
      </c>
      <c r="L40" s="21" t="n">
        <v>46300</v>
      </c>
      <c r="M40" s="19" t="s">
        <v>47</v>
      </c>
      <c r="N40" s="22" t="n">
        <f aca="false">MIN(10,H40+I40+2*J40+IF(C40="Female",1,0)+IF(G40&gt;=7,2,IF(G40&gt;=5,1,0))+IF(F40="Tent",1,0))</f>
        <v>1</v>
      </c>
      <c r="O40" s="19" t="str">
        <f aca="false">IF(N40&gt;=6,"High",IF(N40&gt;=3,"Medium","Low"))</f>
        <v>Low</v>
      </c>
    </row>
    <row r="41" customFormat="false" ht="15" hidden="false" customHeight="false" outlineLevel="0" collapsed="false">
      <c r="A41" s="19" t="s">
        <v>168</v>
      </c>
      <c r="B41" s="20" t="s">
        <v>169</v>
      </c>
      <c r="C41" s="19" t="s">
        <v>54</v>
      </c>
      <c r="D41" s="19" t="n">
        <v>20</v>
      </c>
      <c r="E41" s="19" t="s">
        <v>17</v>
      </c>
      <c r="F41" s="19" t="s">
        <v>72</v>
      </c>
      <c r="G41" s="19" t="n">
        <v>5</v>
      </c>
      <c r="H41" s="19" t="n">
        <v>1</v>
      </c>
      <c r="I41" s="19" t="n">
        <v>1</v>
      </c>
      <c r="J41" s="19" t="n">
        <v>0</v>
      </c>
      <c r="K41" s="19" t="s">
        <v>170</v>
      </c>
      <c r="L41" s="21" t="n">
        <v>46300</v>
      </c>
      <c r="M41" s="19" t="s">
        <v>80</v>
      </c>
      <c r="N41" s="22" t="n">
        <f aca="false">MIN(10,H41+I41+2*J41+IF(C41="Female",1,0)+IF(G41&gt;=7,2,IF(G41&gt;=5,1,0))+IF(F41="Tent",1,0))</f>
        <v>4</v>
      </c>
      <c r="O41" s="19" t="str">
        <f aca="false">IF(N41&gt;=6,"High",IF(N41&gt;=3,"Medium","Low"))</f>
        <v>Medium</v>
      </c>
    </row>
    <row r="42" customFormat="false" ht="15" hidden="false" customHeight="false" outlineLevel="0" collapsed="false">
      <c r="A42" s="19" t="s">
        <v>171</v>
      </c>
      <c r="B42" s="20" t="s">
        <v>172</v>
      </c>
      <c r="C42" s="19" t="s">
        <v>54</v>
      </c>
      <c r="D42" s="19" t="n">
        <v>36</v>
      </c>
      <c r="E42" s="19" t="s">
        <v>17</v>
      </c>
      <c r="F42" s="19" t="s">
        <v>45</v>
      </c>
      <c r="G42" s="19" t="n">
        <v>9</v>
      </c>
      <c r="H42" s="19" t="n">
        <v>0</v>
      </c>
      <c r="I42" s="19" t="n">
        <v>0</v>
      </c>
      <c r="J42" s="19" t="n">
        <v>0</v>
      </c>
      <c r="K42" s="19" t="s">
        <v>173</v>
      </c>
      <c r="L42" s="21" t="n">
        <v>46290</v>
      </c>
      <c r="M42" s="19" t="s">
        <v>47</v>
      </c>
      <c r="N42" s="22" t="n">
        <f aca="false">MIN(10,H42+I42+2*J42+IF(C42="Female",1,0)+IF(G42&gt;=7,2,IF(G42&gt;=5,1,0))+IF(F42="Tent",1,0))</f>
        <v>4</v>
      </c>
      <c r="O42" s="19" t="str">
        <f aca="false">IF(N42&gt;=6,"High",IF(N42&gt;=3,"Medium","Low"))</f>
        <v>Medium</v>
      </c>
    </row>
    <row r="43" customFormat="false" ht="15" hidden="false" customHeight="false" outlineLevel="0" collapsed="false">
      <c r="A43" s="19" t="s">
        <v>174</v>
      </c>
      <c r="B43" s="20" t="s">
        <v>175</v>
      </c>
      <c r="C43" s="19" t="s">
        <v>54</v>
      </c>
      <c r="D43" s="19" t="n">
        <v>31</v>
      </c>
      <c r="E43" s="19" t="s">
        <v>14</v>
      </c>
      <c r="F43" s="19" t="s">
        <v>50</v>
      </c>
      <c r="G43" s="19" t="n">
        <v>11</v>
      </c>
      <c r="H43" s="19" t="n">
        <v>0</v>
      </c>
      <c r="I43" s="19" t="n">
        <v>0</v>
      </c>
      <c r="J43" s="19" t="n">
        <v>0</v>
      </c>
      <c r="K43" s="19" t="s">
        <v>176</v>
      </c>
      <c r="L43" s="21" t="n">
        <v>46281</v>
      </c>
      <c r="M43" s="19" t="s">
        <v>47</v>
      </c>
      <c r="N43" s="22" t="n">
        <f aca="false">MIN(10,H43+I43+2*J43+IF(C43="Female",1,0)+IF(G43&gt;=7,2,IF(G43&gt;=5,1,0))+IF(F43="Tent",1,0))</f>
        <v>3</v>
      </c>
      <c r="O43" s="19" t="str">
        <f aca="false">IF(N43&gt;=6,"High",IF(N43&gt;=3,"Medium","Low"))</f>
        <v>Medium</v>
      </c>
    </row>
    <row r="44" customFormat="false" ht="15" hidden="false" customHeight="false" outlineLevel="0" collapsed="false">
      <c r="A44" s="19" t="s">
        <v>177</v>
      </c>
      <c r="B44" s="20" t="s">
        <v>178</v>
      </c>
      <c r="C44" s="19" t="s">
        <v>44</v>
      </c>
      <c r="D44" s="19" t="n">
        <v>68</v>
      </c>
      <c r="E44" s="19" t="s">
        <v>15</v>
      </c>
      <c r="F44" s="19" t="s">
        <v>55</v>
      </c>
      <c r="G44" s="19" t="n">
        <v>11</v>
      </c>
      <c r="H44" s="19" t="n">
        <v>1</v>
      </c>
      <c r="I44" s="19" t="n">
        <v>0</v>
      </c>
      <c r="J44" s="19" t="n">
        <v>0</v>
      </c>
      <c r="K44" s="19" t="s">
        <v>179</v>
      </c>
      <c r="L44" s="21" t="n">
        <v>46273</v>
      </c>
      <c r="M44" s="19" t="s">
        <v>47</v>
      </c>
      <c r="N44" s="22" t="n">
        <f aca="false">MIN(10,H44+I44+2*J44+IF(C44="Female",1,0)+IF(G44&gt;=7,2,IF(G44&gt;=5,1,0))+IF(F44="Tent",1,0))</f>
        <v>3</v>
      </c>
      <c r="O44" s="19" t="str">
        <f aca="false">IF(N44&gt;=6,"High",IF(N44&gt;=3,"Medium","Low"))</f>
        <v>Medium</v>
      </c>
    </row>
    <row r="45" customFormat="false" ht="15" hidden="false" customHeight="false" outlineLevel="0" collapsed="false">
      <c r="A45" s="19" t="s">
        <v>180</v>
      </c>
      <c r="B45" s="20" t="s">
        <v>181</v>
      </c>
      <c r="C45" s="19" t="s">
        <v>54</v>
      </c>
      <c r="D45" s="19" t="n">
        <v>25</v>
      </c>
      <c r="E45" s="19" t="s">
        <v>16</v>
      </c>
      <c r="F45" s="19" t="s">
        <v>55</v>
      </c>
      <c r="G45" s="19" t="n">
        <v>7</v>
      </c>
      <c r="H45" s="19" t="n">
        <v>3</v>
      </c>
      <c r="I45" s="19" t="n">
        <v>0</v>
      </c>
      <c r="J45" s="19" t="n">
        <v>0</v>
      </c>
      <c r="K45" s="19" t="s">
        <v>182</v>
      </c>
      <c r="L45" s="21" t="n">
        <v>46281</v>
      </c>
      <c r="M45" s="19" t="s">
        <v>80</v>
      </c>
      <c r="N45" s="22" t="n">
        <f aca="false">MIN(10,H45+I45+2*J45+IF(C45="Female",1,0)+IF(G45&gt;=7,2,IF(G45&gt;=5,1,0))+IF(F45="Tent",1,0))</f>
        <v>6</v>
      </c>
      <c r="O45" s="19" t="str">
        <f aca="false">IF(N45&gt;=6,"High",IF(N45&gt;=3,"Medium","Low"))</f>
        <v>High</v>
      </c>
    </row>
    <row r="46" customFormat="false" ht="15" hidden="false" customHeight="false" outlineLevel="0" collapsed="false">
      <c r="A46" s="19" t="s">
        <v>183</v>
      </c>
      <c r="B46" s="20" t="s">
        <v>184</v>
      </c>
      <c r="C46" s="19" t="s">
        <v>54</v>
      </c>
      <c r="D46" s="19" t="n">
        <v>71</v>
      </c>
      <c r="E46" s="19" t="s">
        <v>17</v>
      </c>
      <c r="F46" s="19" t="s">
        <v>45</v>
      </c>
      <c r="G46" s="19" t="n">
        <v>5</v>
      </c>
      <c r="H46" s="19" t="n">
        <v>1</v>
      </c>
      <c r="I46" s="19" t="n">
        <v>0</v>
      </c>
      <c r="J46" s="19" t="n">
        <v>0</v>
      </c>
      <c r="K46" s="19" t="s">
        <v>185</v>
      </c>
      <c r="L46" s="21" t="n">
        <v>46292</v>
      </c>
      <c r="M46" s="19" t="s">
        <v>66</v>
      </c>
      <c r="N46" s="22" t="n">
        <f aca="false">MIN(10,H46+I46+2*J46+IF(C46="Female",1,0)+IF(G46&gt;=7,2,IF(G46&gt;=5,1,0))+IF(F46="Tent",1,0))</f>
        <v>4</v>
      </c>
      <c r="O46" s="19" t="str">
        <f aca="false">IF(N46&gt;=6,"High",IF(N46&gt;=3,"Medium","Low"))</f>
        <v>Medium</v>
      </c>
    </row>
    <row r="47" customFormat="false" ht="15" hidden="false" customHeight="false" outlineLevel="0" collapsed="false">
      <c r="A47" s="19" t="s">
        <v>186</v>
      </c>
      <c r="B47" s="20" t="s">
        <v>187</v>
      </c>
      <c r="C47" s="19" t="s">
        <v>44</v>
      </c>
      <c r="D47" s="19" t="n">
        <v>46</v>
      </c>
      <c r="E47" s="19" t="s">
        <v>18</v>
      </c>
      <c r="F47" s="19" t="s">
        <v>45</v>
      </c>
      <c r="G47" s="19" t="n">
        <v>5</v>
      </c>
      <c r="H47" s="19" t="n">
        <v>1</v>
      </c>
      <c r="I47" s="19" t="n">
        <v>2</v>
      </c>
      <c r="J47" s="19" t="n">
        <v>0</v>
      </c>
      <c r="K47" s="19" t="s">
        <v>188</v>
      </c>
      <c r="L47" s="21" t="n">
        <v>46295</v>
      </c>
      <c r="M47" s="19" t="s">
        <v>80</v>
      </c>
      <c r="N47" s="22" t="n">
        <f aca="false">MIN(10,H47+I47+2*J47+IF(C47="Female",1,0)+IF(G47&gt;=7,2,IF(G47&gt;=5,1,0))+IF(F47="Tent",1,0))</f>
        <v>5</v>
      </c>
      <c r="O47" s="19" t="str">
        <f aca="false">IF(N47&gt;=6,"High",IF(N47&gt;=3,"Medium","Low"))</f>
        <v>Medium</v>
      </c>
    </row>
    <row r="48" customFormat="false" ht="15" hidden="false" customHeight="false" outlineLevel="0" collapsed="false">
      <c r="A48" s="19" t="s">
        <v>189</v>
      </c>
      <c r="B48" s="20" t="s">
        <v>190</v>
      </c>
      <c r="C48" s="19" t="s">
        <v>44</v>
      </c>
      <c r="D48" s="19" t="n">
        <v>73</v>
      </c>
      <c r="E48" s="19" t="s">
        <v>16</v>
      </c>
      <c r="F48" s="19" t="s">
        <v>45</v>
      </c>
      <c r="G48" s="19" t="n">
        <v>10</v>
      </c>
      <c r="H48" s="19" t="n">
        <v>0</v>
      </c>
      <c r="I48" s="19" t="n">
        <v>0</v>
      </c>
      <c r="J48" s="19" t="n">
        <v>0</v>
      </c>
      <c r="K48" s="19" t="s">
        <v>191</v>
      </c>
      <c r="L48" s="21" t="n">
        <v>46297</v>
      </c>
      <c r="M48" s="19" t="s">
        <v>47</v>
      </c>
      <c r="N48" s="22" t="n">
        <f aca="false">MIN(10,H48+I48+2*J48+IF(C48="Female",1,0)+IF(G48&gt;=7,2,IF(G48&gt;=5,1,0))+IF(F48="Tent",1,0))</f>
        <v>3</v>
      </c>
      <c r="O48" s="19" t="str">
        <f aca="false">IF(N48&gt;=6,"High",IF(N48&gt;=3,"Medium","Low"))</f>
        <v>Medium</v>
      </c>
    </row>
    <row r="49" customFormat="false" ht="15" hidden="false" customHeight="false" outlineLevel="0" collapsed="false">
      <c r="A49" s="19" t="s">
        <v>192</v>
      </c>
      <c r="B49" s="20" t="s">
        <v>193</v>
      </c>
      <c r="C49" s="19" t="s">
        <v>44</v>
      </c>
      <c r="D49" s="19" t="n">
        <v>50</v>
      </c>
      <c r="E49" s="19" t="s">
        <v>18</v>
      </c>
      <c r="F49" s="19" t="s">
        <v>50</v>
      </c>
      <c r="G49" s="19" t="n">
        <v>10</v>
      </c>
      <c r="H49" s="19" t="n">
        <v>1</v>
      </c>
      <c r="I49" s="19" t="n">
        <v>0</v>
      </c>
      <c r="J49" s="19" t="n">
        <v>0</v>
      </c>
      <c r="K49" s="19" t="s">
        <v>194</v>
      </c>
      <c r="L49" s="21" t="n">
        <v>46292</v>
      </c>
      <c r="M49" s="19" t="s">
        <v>80</v>
      </c>
      <c r="N49" s="22" t="n">
        <f aca="false">MIN(10,H49+I49+2*J49+IF(C49="Female",1,0)+IF(G49&gt;=7,2,IF(G49&gt;=5,1,0))+IF(F49="Tent",1,0))</f>
        <v>3</v>
      </c>
      <c r="O49" s="19" t="str">
        <f aca="false">IF(N49&gt;=6,"High",IF(N49&gt;=3,"Medium","Low"))</f>
        <v>Medium</v>
      </c>
    </row>
    <row r="50" customFormat="false" ht="15" hidden="false" customHeight="false" outlineLevel="0" collapsed="false">
      <c r="A50" s="19" t="s">
        <v>195</v>
      </c>
      <c r="B50" s="20" t="s">
        <v>196</v>
      </c>
      <c r="C50" s="19" t="s">
        <v>44</v>
      </c>
      <c r="D50" s="19" t="n">
        <v>49</v>
      </c>
      <c r="E50" s="19" t="s">
        <v>18</v>
      </c>
      <c r="F50" s="19" t="s">
        <v>72</v>
      </c>
      <c r="G50" s="19" t="n">
        <v>8</v>
      </c>
      <c r="H50" s="19" t="n">
        <v>0</v>
      </c>
      <c r="I50" s="19" t="n">
        <v>0</v>
      </c>
      <c r="J50" s="19" t="n">
        <v>0</v>
      </c>
      <c r="K50" s="19" t="s">
        <v>197</v>
      </c>
      <c r="L50" s="21" t="n">
        <v>46289</v>
      </c>
      <c r="M50" s="19" t="s">
        <v>47</v>
      </c>
      <c r="N50" s="22" t="n">
        <f aca="false">MIN(10,H50+I50+2*J50+IF(C50="Female",1,0)+IF(G50&gt;=7,2,IF(G50&gt;=5,1,0))+IF(F50="Tent",1,0))</f>
        <v>2</v>
      </c>
      <c r="O50" s="19" t="str">
        <f aca="false">IF(N50&gt;=6,"High",IF(N50&gt;=3,"Medium","Low"))</f>
        <v>Low</v>
      </c>
    </row>
    <row r="51" customFormat="false" ht="15" hidden="false" customHeight="false" outlineLevel="0" collapsed="false">
      <c r="A51" s="19" t="s">
        <v>198</v>
      </c>
      <c r="B51" s="20" t="s">
        <v>199</v>
      </c>
      <c r="C51" s="19" t="s">
        <v>44</v>
      </c>
      <c r="D51" s="19" t="n">
        <v>67</v>
      </c>
      <c r="E51" s="19" t="s">
        <v>15</v>
      </c>
      <c r="F51" s="19" t="s">
        <v>45</v>
      </c>
      <c r="G51" s="19" t="n">
        <v>8</v>
      </c>
      <c r="H51" s="19" t="n">
        <v>0</v>
      </c>
      <c r="I51" s="19" t="n">
        <v>0</v>
      </c>
      <c r="J51" s="19" t="n">
        <v>0</v>
      </c>
      <c r="K51" s="19" t="s">
        <v>200</v>
      </c>
      <c r="L51" s="21" t="n">
        <v>46300</v>
      </c>
      <c r="M51" s="19" t="s">
        <v>80</v>
      </c>
      <c r="N51" s="22" t="n">
        <f aca="false">MIN(10,H51+I51+2*J51+IF(C51="Female",1,0)+IF(G51&gt;=7,2,IF(G51&gt;=5,1,0))+IF(F51="Tent",1,0))</f>
        <v>3</v>
      </c>
      <c r="O51" s="19" t="str">
        <f aca="false">IF(N51&gt;=6,"High",IF(N51&gt;=3,"Medium","Low"))</f>
        <v>Medium</v>
      </c>
    </row>
    <row r="52" customFormat="false" ht="15" hidden="false" customHeight="false" outlineLevel="0" collapsed="false">
      <c r="A52" s="19" t="s">
        <v>201</v>
      </c>
      <c r="B52" s="20" t="s">
        <v>202</v>
      </c>
      <c r="C52" s="19" t="s">
        <v>54</v>
      </c>
      <c r="D52" s="19" t="n">
        <v>64</v>
      </c>
      <c r="E52" s="19" t="s">
        <v>18</v>
      </c>
      <c r="F52" s="19" t="s">
        <v>45</v>
      </c>
      <c r="G52" s="19" t="n">
        <v>7</v>
      </c>
      <c r="H52" s="19" t="n">
        <v>3</v>
      </c>
      <c r="I52" s="19" t="n">
        <v>1</v>
      </c>
      <c r="J52" s="19" t="n">
        <v>0</v>
      </c>
      <c r="K52" s="19" t="s">
        <v>203</v>
      </c>
      <c r="L52" s="21" t="n">
        <v>46266</v>
      </c>
      <c r="M52" s="19" t="s">
        <v>47</v>
      </c>
      <c r="N52" s="22" t="n">
        <f aca="false">MIN(10,H52+I52+2*J52+IF(C52="Female",1,0)+IF(G52&gt;=7,2,IF(G52&gt;=5,1,0))+IF(F52="Tent",1,0))</f>
        <v>8</v>
      </c>
      <c r="O52" s="19" t="str">
        <f aca="false">IF(N52&gt;=6,"High",IF(N52&gt;=3,"Medium","Low"))</f>
        <v>High</v>
      </c>
    </row>
    <row r="53" customFormat="false" ht="15" hidden="false" customHeight="false" outlineLevel="0" collapsed="false">
      <c r="A53" s="19" t="s">
        <v>204</v>
      </c>
      <c r="B53" s="20" t="s">
        <v>205</v>
      </c>
      <c r="C53" s="19" t="s">
        <v>54</v>
      </c>
      <c r="D53" s="19" t="n">
        <v>40</v>
      </c>
      <c r="E53" s="19" t="s">
        <v>15</v>
      </c>
      <c r="F53" s="19" t="s">
        <v>55</v>
      </c>
      <c r="G53" s="19" t="n">
        <v>7</v>
      </c>
      <c r="H53" s="19" t="n">
        <v>2</v>
      </c>
      <c r="I53" s="19" t="n">
        <v>0</v>
      </c>
      <c r="J53" s="19" t="n">
        <v>0</v>
      </c>
      <c r="K53" s="19" t="s">
        <v>206</v>
      </c>
      <c r="L53" s="21" t="n">
        <v>46294</v>
      </c>
      <c r="M53" s="19" t="s">
        <v>47</v>
      </c>
      <c r="N53" s="22" t="n">
        <f aca="false">MIN(10,H53+I53+2*J53+IF(C53="Female",1,0)+IF(G53&gt;=7,2,IF(G53&gt;=5,1,0))+IF(F53="Tent",1,0))</f>
        <v>5</v>
      </c>
      <c r="O53" s="19" t="str">
        <f aca="false">IF(N53&gt;=6,"High",IF(N53&gt;=3,"Medium","Low"))</f>
        <v>Medium</v>
      </c>
    </row>
    <row r="54" customFormat="false" ht="15" hidden="false" customHeight="false" outlineLevel="0" collapsed="false">
      <c r="A54" s="19" t="s">
        <v>207</v>
      </c>
      <c r="B54" s="20" t="s">
        <v>208</v>
      </c>
      <c r="C54" s="19" t="s">
        <v>44</v>
      </c>
      <c r="D54" s="19" t="n">
        <v>24</v>
      </c>
      <c r="E54" s="19" t="s">
        <v>15</v>
      </c>
      <c r="F54" s="19" t="s">
        <v>45</v>
      </c>
      <c r="G54" s="19" t="n">
        <v>5</v>
      </c>
      <c r="H54" s="19" t="n">
        <v>0</v>
      </c>
      <c r="I54" s="19" t="n">
        <v>0</v>
      </c>
      <c r="J54" s="19" t="n">
        <v>0</v>
      </c>
      <c r="K54" s="19" t="s">
        <v>209</v>
      </c>
      <c r="L54" s="21" t="n">
        <v>46285</v>
      </c>
      <c r="M54" s="19" t="s">
        <v>80</v>
      </c>
      <c r="N54" s="22" t="n">
        <f aca="false">MIN(10,H54+I54+2*J54+IF(C54="Female",1,0)+IF(G54&gt;=7,2,IF(G54&gt;=5,1,0))+IF(F54="Tent",1,0))</f>
        <v>2</v>
      </c>
      <c r="O54" s="19" t="str">
        <f aca="false">IF(N54&gt;=6,"High",IF(N54&gt;=3,"Medium","Low"))</f>
        <v>Low</v>
      </c>
    </row>
    <row r="55" customFormat="false" ht="15" hidden="false" customHeight="false" outlineLevel="0" collapsed="false">
      <c r="A55" s="19" t="s">
        <v>210</v>
      </c>
      <c r="B55" s="20" t="s">
        <v>211</v>
      </c>
      <c r="C55" s="19" t="s">
        <v>44</v>
      </c>
      <c r="D55" s="19" t="n">
        <v>58</v>
      </c>
      <c r="E55" s="19" t="s">
        <v>14</v>
      </c>
      <c r="F55" s="19" t="s">
        <v>50</v>
      </c>
      <c r="G55" s="19" t="n">
        <v>8</v>
      </c>
      <c r="H55" s="19" t="n">
        <v>0</v>
      </c>
      <c r="I55" s="19" t="n">
        <v>1</v>
      </c>
      <c r="J55" s="19" t="n">
        <v>0</v>
      </c>
      <c r="K55" s="19" t="s">
        <v>212</v>
      </c>
      <c r="L55" s="21" t="n">
        <v>46302</v>
      </c>
      <c r="M55" s="19" t="s">
        <v>80</v>
      </c>
      <c r="N55" s="22" t="n">
        <f aca="false">MIN(10,H55+I55+2*J55+IF(C55="Female",1,0)+IF(G55&gt;=7,2,IF(G55&gt;=5,1,0))+IF(F55="Tent",1,0))</f>
        <v>3</v>
      </c>
      <c r="O55" s="19" t="str">
        <f aca="false">IF(N55&gt;=6,"High",IF(N55&gt;=3,"Medium","Low"))</f>
        <v>Medium</v>
      </c>
    </row>
    <row r="56" customFormat="false" ht="15" hidden="false" customHeight="false" outlineLevel="0" collapsed="false">
      <c r="A56" s="19" t="s">
        <v>213</v>
      </c>
      <c r="B56" s="20" t="s">
        <v>214</v>
      </c>
      <c r="C56" s="19" t="s">
        <v>44</v>
      </c>
      <c r="D56" s="19" t="n">
        <v>63</v>
      </c>
      <c r="E56" s="19" t="s">
        <v>18</v>
      </c>
      <c r="F56" s="19" t="s">
        <v>72</v>
      </c>
      <c r="G56" s="19" t="n">
        <v>4</v>
      </c>
      <c r="H56" s="19" t="n">
        <v>0</v>
      </c>
      <c r="I56" s="19" t="n">
        <v>0</v>
      </c>
      <c r="J56" s="19" t="n">
        <v>0</v>
      </c>
      <c r="K56" s="19" t="s">
        <v>215</v>
      </c>
      <c r="L56" s="21" t="n">
        <v>46294</v>
      </c>
      <c r="M56" s="19" t="s">
        <v>47</v>
      </c>
      <c r="N56" s="22" t="n">
        <f aca="false">MIN(10,H56+I56+2*J56+IF(C56="Female",1,0)+IF(G56&gt;=7,2,IF(G56&gt;=5,1,0))+IF(F56="Tent",1,0))</f>
        <v>0</v>
      </c>
      <c r="O56" s="19" t="str">
        <f aca="false">IF(N56&gt;=6,"High",IF(N56&gt;=3,"Medium","Low"))</f>
        <v>Low</v>
      </c>
    </row>
    <row r="57" customFormat="false" ht="15" hidden="false" customHeight="false" outlineLevel="0" collapsed="false">
      <c r="A57" s="19" t="s">
        <v>216</v>
      </c>
      <c r="B57" s="20" t="s">
        <v>217</v>
      </c>
      <c r="C57" s="19" t="s">
        <v>44</v>
      </c>
      <c r="D57" s="19" t="n">
        <v>46</v>
      </c>
      <c r="E57" s="19" t="s">
        <v>14</v>
      </c>
      <c r="F57" s="19" t="s">
        <v>72</v>
      </c>
      <c r="G57" s="19" t="n">
        <v>2</v>
      </c>
      <c r="H57" s="19" t="n">
        <v>0</v>
      </c>
      <c r="I57" s="19" t="n">
        <v>0</v>
      </c>
      <c r="J57" s="19" t="n">
        <v>0</v>
      </c>
      <c r="K57" s="19" t="s">
        <v>218</v>
      </c>
      <c r="L57" s="21" t="n">
        <v>46278</v>
      </c>
      <c r="M57" s="19" t="s">
        <v>80</v>
      </c>
      <c r="N57" s="22" t="n">
        <f aca="false">MIN(10,H57+I57+2*J57+IF(C57="Female",1,0)+IF(G57&gt;=7,2,IF(G57&gt;=5,1,0))+IF(F57="Tent",1,0))</f>
        <v>0</v>
      </c>
      <c r="O57" s="19" t="str">
        <f aca="false">IF(N57&gt;=6,"High",IF(N57&gt;=3,"Medium","Low"))</f>
        <v>Low</v>
      </c>
    </row>
    <row r="58" customFormat="false" ht="15" hidden="false" customHeight="false" outlineLevel="0" collapsed="false">
      <c r="A58" s="19" t="s">
        <v>219</v>
      </c>
      <c r="B58" s="20" t="s">
        <v>220</v>
      </c>
      <c r="C58" s="19" t="s">
        <v>44</v>
      </c>
      <c r="D58" s="19" t="n">
        <v>63</v>
      </c>
      <c r="E58" s="19" t="s">
        <v>16</v>
      </c>
      <c r="F58" s="19" t="s">
        <v>50</v>
      </c>
      <c r="G58" s="19" t="n">
        <v>2</v>
      </c>
      <c r="H58" s="19" t="n">
        <v>1</v>
      </c>
      <c r="I58" s="19" t="n">
        <v>0</v>
      </c>
      <c r="J58" s="19" t="n">
        <v>1</v>
      </c>
      <c r="K58" s="19" t="s">
        <v>221</v>
      </c>
      <c r="L58" s="21" t="n">
        <v>46295</v>
      </c>
      <c r="M58" s="19" t="s">
        <v>66</v>
      </c>
      <c r="N58" s="22" t="n">
        <f aca="false">MIN(10,H58+I58+2*J58+IF(C58="Female",1,0)+IF(G58&gt;=7,2,IF(G58&gt;=5,1,0))+IF(F58="Tent",1,0))</f>
        <v>3</v>
      </c>
      <c r="O58" s="19" t="str">
        <f aca="false">IF(N58&gt;=6,"High",IF(N58&gt;=3,"Medium","Low"))</f>
        <v>Medium</v>
      </c>
    </row>
    <row r="59" customFormat="false" ht="15" hidden="false" customHeight="false" outlineLevel="0" collapsed="false">
      <c r="A59" s="19" t="s">
        <v>222</v>
      </c>
      <c r="B59" s="20" t="s">
        <v>196</v>
      </c>
      <c r="C59" s="19" t="s">
        <v>44</v>
      </c>
      <c r="D59" s="19" t="n">
        <v>62</v>
      </c>
      <c r="E59" s="19" t="s">
        <v>18</v>
      </c>
      <c r="F59" s="19" t="s">
        <v>72</v>
      </c>
      <c r="G59" s="19" t="n">
        <v>2</v>
      </c>
      <c r="H59" s="19" t="n">
        <v>0</v>
      </c>
      <c r="I59" s="19" t="n">
        <v>0</v>
      </c>
      <c r="J59" s="19" t="n">
        <v>0</v>
      </c>
      <c r="K59" s="19" t="s">
        <v>223</v>
      </c>
      <c r="L59" s="21" t="n">
        <v>46280</v>
      </c>
      <c r="M59" s="19" t="s">
        <v>47</v>
      </c>
      <c r="N59" s="22" t="n">
        <f aca="false">MIN(10,H59+I59+2*J59+IF(C59="Female",1,0)+IF(G59&gt;=7,2,IF(G59&gt;=5,1,0))+IF(F59="Tent",1,0))</f>
        <v>0</v>
      </c>
      <c r="O59" s="19" t="str">
        <f aca="false">IF(N59&gt;=6,"High",IF(N59&gt;=3,"Medium","Low"))</f>
        <v>Low</v>
      </c>
    </row>
    <row r="60" customFormat="false" ht="15" hidden="false" customHeight="false" outlineLevel="0" collapsed="false">
      <c r="A60" s="19" t="s">
        <v>224</v>
      </c>
      <c r="B60" s="20" t="s">
        <v>225</v>
      </c>
      <c r="C60" s="19" t="s">
        <v>44</v>
      </c>
      <c r="D60" s="19" t="n">
        <v>59</v>
      </c>
      <c r="E60" s="19" t="s">
        <v>17</v>
      </c>
      <c r="F60" s="19" t="s">
        <v>55</v>
      </c>
      <c r="G60" s="19" t="n">
        <v>2</v>
      </c>
      <c r="H60" s="19" t="n">
        <v>1</v>
      </c>
      <c r="I60" s="19" t="n">
        <v>0</v>
      </c>
      <c r="J60" s="19" t="n">
        <v>0</v>
      </c>
      <c r="K60" s="19" t="s">
        <v>226</v>
      </c>
      <c r="L60" s="21" t="n">
        <v>46293</v>
      </c>
      <c r="M60" s="19" t="s">
        <v>47</v>
      </c>
      <c r="N60" s="22" t="n">
        <f aca="false">MIN(10,H60+I60+2*J60+IF(C60="Female",1,0)+IF(G60&gt;=7,2,IF(G60&gt;=5,1,0))+IF(F60="Tent",1,0))</f>
        <v>1</v>
      </c>
      <c r="O60" s="19" t="str">
        <f aca="false">IF(N60&gt;=6,"High",IF(N60&gt;=3,"Medium","Low"))</f>
        <v>Low</v>
      </c>
    </row>
    <row r="61" customFormat="false" ht="15" hidden="false" customHeight="false" outlineLevel="0" collapsed="false">
      <c r="A61" s="19" t="s">
        <v>227</v>
      </c>
      <c r="B61" s="20" t="s">
        <v>142</v>
      </c>
      <c r="C61" s="19" t="s">
        <v>44</v>
      </c>
      <c r="D61" s="19" t="n">
        <v>21</v>
      </c>
      <c r="E61" s="19" t="s">
        <v>17</v>
      </c>
      <c r="F61" s="19" t="s">
        <v>45</v>
      </c>
      <c r="G61" s="19" t="n">
        <v>9</v>
      </c>
      <c r="H61" s="19" t="n">
        <v>0</v>
      </c>
      <c r="I61" s="19" t="n">
        <v>0</v>
      </c>
      <c r="J61" s="19" t="n">
        <v>0</v>
      </c>
      <c r="K61" s="19" t="s">
        <v>228</v>
      </c>
      <c r="L61" s="21" t="n">
        <v>46301</v>
      </c>
      <c r="M61" s="19" t="s">
        <v>47</v>
      </c>
      <c r="N61" s="22" t="n">
        <f aca="false">MIN(10,H61+I61+2*J61+IF(C61="Female",1,0)+IF(G61&gt;=7,2,IF(G61&gt;=5,1,0))+IF(F61="Tent",1,0))</f>
        <v>3</v>
      </c>
      <c r="O61" s="19" t="str">
        <f aca="false">IF(N61&gt;=6,"High",IF(N61&gt;=3,"Medium","Low"))</f>
        <v>Medium</v>
      </c>
    </row>
    <row r="62" customFormat="false" ht="15" hidden="false" customHeight="false" outlineLevel="0" collapsed="false">
      <c r="A62" s="19" t="s">
        <v>229</v>
      </c>
      <c r="B62" s="20" t="s">
        <v>230</v>
      </c>
      <c r="C62" s="19" t="s">
        <v>54</v>
      </c>
      <c r="D62" s="19" t="n">
        <v>52</v>
      </c>
      <c r="E62" s="19" t="s">
        <v>16</v>
      </c>
      <c r="F62" s="19" t="s">
        <v>50</v>
      </c>
      <c r="G62" s="19" t="n">
        <v>9</v>
      </c>
      <c r="H62" s="19" t="n">
        <v>2</v>
      </c>
      <c r="I62" s="19" t="n">
        <v>0</v>
      </c>
      <c r="J62" s="19" t="n">
        <v>1</v>
      </c>
      <c r="K62" s="19" t="s">
        <v>231</v>
      </c>
      <c r="L62" s="21" t="n">
        <v>46278</v>
      </c>
      <c r="M62" s="19" t="s">
        <v>47</v>
      </c>
      <c r="N62" s="22" t="n">
        <f aca="false">MIN(10,H62+I62+2*J62+IF(C62="Female",1,0)+IF(G62&gt;=7,2,IF(G62&gt;=5,1,0))+IF(F62="Tent",1,0))</f>
        <v>7</v>
      </c>
      <c r="O62" s="19" t="str">
        <f aca="false">IF(N62&gt;=6,"High",IF(N62&gt;=3,"Medium","Low"))</f>
        <v>High</v>
      </c>
    </row>
    <row r="63" customFormat="false" ht="15" hidden="false" customHeight="false" outlineLevel="0" collapsed="false">
      <c r="A63" s="19" t="s">
        <v>232</v>
      </c>
      <c r="B63" s="20" t="s">
        <v>233</v>
      </c>
      <c r="C63" s="19" t="s">
        <v>44</v>
      </c>
      <c r="D63" s="19" t="n">
        <v>70</v>
      </c>
      <c r="E63" s="19" t="s">
        <v>15</v>
      </c>
      <c r="F63" s="19" t="s">
        <v>50</v>
      </c>
      <c r="G63" s="19" t="n">
        <v>4</v>
      </c>
      <c r="H63" s="19" t="n">
        <v>0</v>
      </c>
      <c r="I63" s="19" t="n">
        <v>0</v>
      </c>
      <c r="J63" s="19" t="n">
        <v>1</v>
      </c>
      <c r="K63" s="19" t="s">
        <v>234</v>
      </c>
      <c r="L63" s="21" t="n">
        <v>46304</v>
      </c>
      <c r="M63" s="19" t="s">
        <v>47</v>
      </c>
      <c r="N63" s="22" t="n">
        <f aca="false">MIN(10,H63+I63+2*J63+IF(C63="Female",1,0)+IF(G63&gt;=7,2,IF(G63&gt;=5,1,0))+IF(F63="Tent",1,0))</f>
        <v>2</v>
      </c>
      <c r="O63" s="19" t="str">
        <f aca="false">IF(N63&gt;=6,"High",IF(N63&gt;=3,"Medium","Low"))</f>
        <v>Low</v>
      </c>
    </row>
    <row r="64" customFormat="false" ht="15" hidden="false" customHeight="false" outlineLevel="0" collapsed="false">
      <c r="A64" s="19" t="s">
        <v>235</v>
      </c>
      <c r="B64" s="20" t="s">
        <v>236</v>
      </c>
      <c r="C64" s="19" t="s">
        <v>54</v>
      </c>
      <c r="D64" s="19" t="n">
        <v>51</v>
      </c>
      <c r="E64" s="19" t="s">
        <v>16</v>
      </c>
      <c r="F64" s="19" t="s">
        <v>45</v>
      </c>
      <c r="G64" s="19" t="n">
        <v>4</v>
      </c>
      <c r="H64" s="19" t="n">
        <v>2</v>
      </c>
      <c r="I64" s="19" t="n">
        <v>0</v>
      </c>
      <c r="J64" s="19" t="n">
        <v>1</v>
      </c>
      <c r="K64" s="19" t="s">
        <v>237</v>
      </c>
      <c r="L64" s="21" t="n">
        <v>46284</v>
      </c>
      <c r="M64" s="19" t="s">
        <v>47</v>
      </c>
      <c r="N64" s="22" t="n">
        <f aca="false">MIN(10,H64+I64+2*J64+IF(C64="Female",1,0)+IF(G64&gt;=7,2,IF(G64&gt;=5,1,0))+IF(F64="Tent",1,0))</f>
        <v>6</v>
      </c>
      <c r="O64" s="19" t="str">
        <f aca="false">IF(N64&gt;=6,"High",IF(N64&gt;=3,"Medium","Low"))</f>
        <v>High</v>
      </c>
    </row>
    <row r="65" customFormat="false" ht="15" hidden="false" customHeight="false" outlineLevel="0" collapsed="false">
      <c r="A65" s="19" t="s">
        <v>238</v>
      </c>
      <c r="B65" s="20" t="s">
        <v>239</v>
      </c>
      <c r="C65" s="19" t="s">
        <v>44</v>
      </c>
      <c r="D65" s="19" t="n">
        <v>68</v>
      </c>
      <c r="E65" s="19" t="s">
        <v>17</v>
      </c>
      <c r="F65" s="19" t="s">
        <v>45</v>
      </c>
      <c r="G65" s="19" t="n">
        <v>3</v>
      </c>
      <c r="H65" s="19" t="n">
        <v>0</v>
      </c>
      <c r="I65" s="19" t="n">
        <v>0</v>
      </c>
      <c r="J65" s="19" t="n">
        <v>0</v>
      </c>
      <c r="K65" s="19" t="s">
        <v>240</v>
      </c>
      <c r="L65" s="21" t="n">
        <v>46283</v>
      </c>
      <c r="M65" s="19" t="s">
        <v>80</v>
      </c>
      <c r="N65" s="22" t="n">
        <f aca="false">MIN(10,H65+I65+2*J65+IF(C65="Female",1,0)+IF(G65&gt;=7,2,IF(G65&gt;=5,1,0))+IF(F65="Tent",1,0))</f>
        <v>1</v>
      </c>
      <c r="O65" s="19" t="str">
        <f aca="false">IF(N65&gt;=6,"High",IF(N65&gt;=3,"Medium","Low"))</f>
        <v>Low</v>
      </c>
    </row>
    <row r="66" customFormat="false" ht="15" hidden="false" customHeight="false" outlineLevel="0" collapsed="false">
      <c r="A66" s="19" t="s">
        <v>241</v>
      </c>
      <c r="B66" s="20" t="s">
        <v>242</v>
      </c>
      <c r="C66" s="19" t="s">
        <v>54</v>
      </c>
      <c r="D66" s="19" t="n">
        <v>41</v>
      </c>
      <c r="E66" s="19" t="s">
        <v>16</v>
      </c>
      <c r="F66" s="19" t="s">
        <v>72</v>
      </c>
      <c r="G66" s="19" t="n">
        <v>8</v>
      </c>
      <c r="H66" s="19" t="n">
        <v>2</v>
      </c>
      <c r="I66" s="19" t="n">
        <v>0</v>
      </c>
      <c r="J66" s="19" t="n">
        <v>0</v>
      </c>
      <c r="K66" s="19" t="s">
        <v>243</v>
      </c>
      <c r="L66" s="21" t="n">
        <v>46296</v>
      </c>
      <c r="M66" s="19" t="s">
        <v>47</v>
      </c>
      <c r="N66" s="22" t="n">
        <f aca="false">MIN(10,H66+I66+2*J66+IF(C66="Female",1,0)+IF(G66&gt;=7,2,IF(G66&gt;=5,1,0))+IF(F66="Tent",1,0))</f>
        <v>5</v>
      </c>
      <c r="O66" s="19" t="str">
        <f aca="false">IF(N66&gt;=6,"High",IF(N66&gt;=3,"Medium","Low"))</f>
        <v>Medium</v>
      </c>
    </row>
    <row r="67" customFormat="false" ht="15" hidden="false" customHeight="false" outlineLevel="0" collapsed="false">
      <c r="A67" s="19" t="s">
        <v>244</v>
      </c>
      <c r="B67" s="20" t="s">
        <v>68</v>
      </c>
      <c r="C67" s="19" t="s">
        <v>44</v>
      </c>
      <c r="D67" s="19" t="n">
        <v>64</v>
      </c>
      <c r="E67" s="19" t="s">
        <v>17</v>
      </c>
      <c r="F67" s="19" t="s">
        <v>45</v>
      </c>
      <c r="G67" s="19" t="n">
        <v>11</v>
      </c>
      <c r="H67" s="19" t="n">
        <v>0</v>
      </c>
      <c r="I67" s="19" t="n">
        <v>0</v>
      </c>
      <c r="J67" s="19" t="n">
        <v>1</v>
      </c>
      <c r="K67" s="19" t="s">
        <v>245</v>
      </c>
      <c r="L67" s="21" t="n">
        <v>46296</v>
      </c>
      <c r="M67" s="19" t="s">
        <v>80</v>
      </c>
      <c r="N67" s="22" t="n">
        <f aca="false">MIN(10,H67+I67+2*J67+IF(C67="Female",1,0)+IF(G67&gt;=7,2,IF(G67&gt;=5,1,0))+IF(F67="Tent",1,0))</f>
        <v>5</v>
      </c>
      <c r="O67" s="19" t="str">
        <f aca="false">IF(N67&gt;=6,"High",IF(N67&gt;=3,"Medium","Low"))</f>
        <v>Medium</v>
      </c>
    </row>
    <row r="68" customFormat="false" ht="15" hidden="false" customHeight="false" outlineLevel="0" collapsed="false">
      <c r="A68" s="19" t="s">
        <v>246</v>
      </c>
      <c r="B68" s="20" t="s">
        <v>247</v>
      </c>
      <c r="C68" s="19" t="s">
        <v>44</v>
      </c>
      <c r="D68" s="19" t="n">
        <v>25</v>
      </c>
      <c r="E68" s="19" t="s">
        <v>18</v>
      </c>
      <c r="F68" s="19" t="s">
        <v>55</v>
      </c>
      <c r="G68" s="19" t="n">
        <v>11</v>
      </c>
      <c r="H68" s="19" t="n">
        <v>0</v>
      </c>
      <c r="I68" s="19" t="n">
        <v>2</v>
      </c>
      <c r="J68" s="19" t="n">
        <v>0</v>
      </c>
      <c r="K68" s="19" t="s">
        <v>248</v>
      </c>
      <c r="L68" s="21" t="n">
        <v>46294</v>
      </c>
      <c r="M68" s="19" t="s">
        <v>47</v>
      </c>
      <c r="N68" s="22" t="n">
        <f aca="false">MIN(10,H68+I68+2*J68+IF(C68="Female",1,0)+IF(G68&gt;=7,2,IF(G68&gt;=5,1,0))+IF(F68="Tent",1,0))</f>
        <v>4</v>
      </c>
      <c r="O68" s="19" t="str">
        <f aca="false">IF(N68&gt;=6,"High",IF(N68&gt;=3,"Medium","Low"))</f>
        <v>Medium</v>
      </c>
    </row>
    <row r="69" customFormat="false" ht="15" hidden="false" customHeight="false" outlineLevel="0" collapsed="false">
      <c r="A69" s="19" t="s">
        <v>249</v>
      </c>
      <c r="B69" s="20" t="s">
        <v>250</v>
      </c>
      <c r="C69" s="19" t="s">
        <v>54</v>
      </c>
      <c r="D69" s="19" t="n">
        <v>73</v>
      </c>
      <c r="E69" s="19" t="s">
        <v>18</v>
      </c>
      <c r="F69" s="19" t="s">
        <v>45</v>
      </c>
      <c r="G69" s="19" t="n">
        <v>2</v>
      </c>
      <c r="H69" s="19" t="n">
        <v>1</v>
      </c>
      <c r="I69" s="19" t="n">
        <v>0</v>
      </c>
      <c r="J69" s="19" t="n">
        <v>0</v>
      </c>
      <c r="K69" s="19" t="s">
        <v>251</v>
      </c>
      <c r="L69" s="21" t="n">
        <v>46287</v>
      </c>
      <c r="M69" s="19" t="s">
        <v>47</v>
      </c>
      <c r="N69" s="22" t="n">
        <f aca="false">MIN(10,H69+I69+2*J69+IF(C69="Female",1,0)+IF(G69&gt;=7,2,IF(G69&gt;=5,1,0))+IF(F69="Tent",1,0))</f>
        <v>3</v>
      </c>
      <c r="O69" s="19" t="str">
        <f aca="false">IF(N69&gt;=6,"High",IF(N69&gt;=3,"Medium","Low"))</f>
        <v>Medium</v>
      </c>
    </row>
    <row r="70" customFormat="false" ht="15" hidden="false" customHeight="false" outlineLevel="0" collapsed="false">
      <c r="A70" s="19" t="s">
        <v>252</v>
      </c>
      <c r="B70" s="20" t="s">
        <v>253</v>
      </c>
      <c r="C70" s="19" t="s">
        <v>44</v>
      </c>
      <c r="D70" s="19" t="n">
        <v>25</v>
      </c>
      <c r="E70" s="19" t="s">
        <v>14</v>
      </c>
      <c r="F70" s="19" t="s">
        <v>45</v>
      </c>
      <c r="G70" s="19" t="n">
        <v>2</v>
      </c>
      <c r="H70" s="19" t="n">
        <v>0</v>
      </c>
      <c r="I70" s="19" t="n">
        <v>0</v>
      </c>
      <c r="J70" s="19" t="n">
        <v>1</v>
      </c>
      <c r="K70" s="19" t="s">
        <v>254</v>
      </c>
      <c r="L70" s="21" t="n">
        <v>46293</v>
      </c>
      <c r="M70" s="19" t="s">
        <v>80</v>
      </c>
      <c r="N70" s="22" t="n">
        <f aca="false">MIN(10,H70+I70+2*J70+IF(C70="Female",1,0)+IF(G70&gt;=7,2,IF(G70&gt;=5,1,0))+IF(F70="Tent",1,0))</f>
        <v>3</v>
      </c>
      <c r="O70" s="19" t="str">
        <f aca="false">IF(N70&gt;=6,"High",IF(N70&gt;=3,"Medium","Low"))</f>
        <v>Medium</v>
      </c>
    </row>
    <row r="71" customFormat="false" ht="15" hidden="false" customHeight="false" outlineLevel="0" collapsed="false">
      <c r="A71" s="19" t="s">
        <v>255</v>
      </c>
      <c r="B71" s="20" t="s">
        <v>256</v>
      </c>
      <c r="C71" s="19" t="s">
        <v>44</v>
      </c>
      <c r="D71" s="19" t="n">
        <v>29</v>
      </c>
      <c r="E71" s="19" t="s">
        <v>15</v>
      </c>
      <c r="F71" s="19" t="s">
        <v>45</v>
      </c>
      <c r="G71" s="19" t="n">
        <v>8</v>
      </c>
      <c r="H71" s="19" t="n">
        <v>0</v>
      </c>
      <c r="I71" s="19" t="n">
        <v>0</v>
      </c>
      <c r="J71" s="19" t="n">
        <v>0</v>
      </c>
      <c r="K71" s="19" t="s">
        <v>257</v>
      </c>
      <c r="L71" s="21" t="n">
        <v>46277</v>
      </c>
      <c r="M71" s="19" t="s">
        <v>80</v>
      </c>
      <c r="N71" s="22" t="n">
        <f aca="false">MIN(10,H71+I71+2*J71+IF(C71="Female",1,0)+IF(G71&gt;=7,2,IF(G71&gt;=5,1,0))+IF(F71="Tent",1,0))</f>
        <v>3</v>
      </c>
      <c r="O71" s="19" t="str">
        <f aca="false">IF(N71&gt;=6,"High",IF(N71&gt;=3,"Medium","Low"))</f>
        <v>Medium</v>
      </c>
    </row>
    <row r="72" customFormat="false" ht="15" hidden="false" customHeight="false" outlineLevel="0" collapsed="false">
      <c r="A72" s="19" t="s">
        <v>258</v>
      </c>
      <c r="B72" s="20" t="s">
        <v>259</v>
      </c>
      <c r="C72" s="19" t="s">
        <v>44</v>
      </c>
      <c r="D72" s="19" t="n">
        <v>76</v>
      </c>
      <c r="E72" s="19" t="s">
        <v>16</v>
      </c>
      <c r="F72" s="19" t="s">
        <v>50</v>
      </c>
      <c r="G72" s="19" t="n">
        <v>10</v>
      </c>
      <c r="H72" s="19" t="n">
        <v>0</v>
      </c>
      <c r="I72" s="19" t="n">
        <v>0</v>
      </c>
      <c r="J72" s="19" t="n">
        <v>0</v>
      </c>
      <c r="K72" s="19" t="s">
        <v>260</v>
      </c>
      <c r="L72" s="21" t="n">
        <v>46295</v>
      </c>
      <c r="M72" s="19" t="s">
        <v>47</v>
      </c>
      <c r="N72" s="22" t="n">
        <f aca="false">MIN(10,H72+I72+2*J72+IF(C72="Female",1,0)+IF(G72&gt;=7,2,IF(G72&gt;=5,1,0))+IF(F72="Tent",1,0))</f>
        <v>2</v>
      </c>
      <c r="O72" s="19" t="str">
        <f aca="false">IF(N72&gt;=6,"High",IF(N72&gt;=3,"Medium","Low"))</f>
        <v>Low</v>
      </c>
    </row>
    <row r="73" customFormat="false" ht="15" hidden="false" customHeight="false" outlineLevel="0" collapsed="false">
      <c r="A73" s="19" t="s">
        <v>261</v>
      </c>
      <c r="B73" s="20" t="s">
        <v>262</v>
      </c>
      <c r="C73" s="19" t="s">
        <v>44</v>
      </c>
      <c r="D73" s="19" t="n">
        <v>25</v>
      </c>
      <c r="E73" s="19" t="s">
        <v>15</v>
      </c>
      <c r="F73" s="19" t="s">
        <v>45</v>
      </c>
      <c r="G73" s="19" t="n">
        <v>4</v>
      </c>
      <c r="H73" s="19" t="n">
        <v>3</v>
      </c>
      <c r="I73" s="19" t="n">
        <v>0</v>
      </c>
      <c r="J73" s="19" t="n">
        <v>0</v>
      </c>
      <c r="K73" s="19" t="s">
        <v>263</v>
      </c>
      <c r="L73" s="21" t="n">
        <v>46296</v>
      </c>
      <c r="M73" s="19" t="s">
        <v>47</v>
      </c>
      <c r="N73" s="22" t="n">
        <f aca="false">MIN(10,H73+I73+2*J73+IF(C73="Female",1,0)+IF(G73&gt;=7,2,IF(G73&gt;=5,1,0))+IF(F73="Tent",1,0))</f>
        <v>4</v>
      </c>
      <c r="O73" s="19" t="str">
        <f aca="false">IF(N73&gt;=6,"High",IF(N73&gt;=3,"Medium","Low"))</f>
        <v>Medium</v>
      </c>
    </row>
    <row r="74" customFormat="false" ht="15" hidden="false" customHeight="false" outlineLevel="0" collapsed="false">
      <c r="A74" s="19" t="s">
        <v>264</v>
      </c>
      <c r="B74" s="20" t="s">
        <v>265</v>
      </c>
      <c r="C74" s="19" t="s">
        <v>44</v>
      </c>
      <c r="D74" s="19" t="n">
        <v>72</v>
      </c>
      <c r="E74" s="19" t="s">
        <v>16</v>
      </c>
      <c r="F74" s="19" t="s">
        <v>50</v>
      </c>
      <c r="G74" s="19" t="n">
        <v>11</v>
      </c>
      <c r="H74" s="19" t="n">
        <v>1</v>
      </c>
      <c r="I74" s="19" t="n">
        <v>0</v>
      </c>
      <c r="J74" s="19" t="n">
        <v>0</v>
      </c>
      <c r="K74" s="19" t="s">
        <v>266</v>
      </c>
      <c r="L74" s="21" t="n">
        <v>46297</v>
      </c>
      <c r="M74" s="19" t="s">
        <v>47</v>
      </c>
      <c r="N74" s="22" t="n">
        <f aca="false">MIN(10,H74+I74+2*J74+IF(C74="Female",1,0)+IF(G74&gt;=7,2,IF(G74&gt;=5,1,0))+IF(F74="Tent",1,0))</f>
        <v>3</v>
      </c>
      <c r="O74" s="19" t="str">
        <f aca="false">IF(N74&gt;=6,"High",IF(N74&gt;=3,"Medium","Low"))</f>
        <v>Medium</v>
      </c>
    </row>
    <row r="75" customFormat="false" ht="15" hidden="false" customHeight="false" outlineLevel="0" collapsed="false">
      <c r="A75" s="19" t="s">
        <v>267</v>
      </c>
      <c r="B75" s="20" t="s">
        <v>268</v>
      </c>
      <c r="C75" s="19" t="s">
        <v>44</v>
      </c>
      <c r="D75" s="19" t="n">
        <v>38</v>
      </c>
      <c r="E75" s="19" t="s">
        <v>17</v>
      </c>
      <c r="F75" s="19" t="s">
        <v>45</v>
      </c>
      <c r="G75" s="19" t="n">
        <v>7</v>
      </c>
      <c r="H75" s="19" t="n">
        <v>1</v>
      </c>
      <c r="I75" s="19" t="n">
        <v>1</v>
      </c>
      <c r="J75" s="19" t="n">
        <v>0</v>
      </c>
      <c r="K75" s="19" t="s">
        <v>269</v>
      </c>
      <c r="L75" s="21" t="n">
        <v>46268</v>
      </c>
      <c r="M75" s="19" t="s">
        <v>47</v>
      </c>
      <c r="N75" s="22" t="n">
        <f aca="false">MIN(10,H75+I75+2*J75+IF(C75="Female",1,0)+IF(G75&gt;=7,2,IF(G75&gt;=5,1,0))+IF(F75="Tent",1,0))</f>
        <v>5</v>
      </c>
      <c r="O75" s="19" t="str">
        <f aca="false">IF(N75&gt;=6,"High",IF(N75&gt;=3,"Medium","Low"))</f>
        <v>Medium</v>
      </c>
    </row>
    <row r="76" customFormat="false" ht="15" hidden="false" customHeight="false" outlineLevel="0" collapsed="false">
      <c r="A76" s="19" t="s">
        <v>270</v>
      </c>
      <c r="B76" s="20" t="s">
        <v>271</v>
      </c>
      <c r="C76" s="19" t="s">
        <v>54</v>
      </c>
      <c r="D76" s="19" t="n">
        <v>72</v>
      </c>
      <c r="E76" s="19" t="s">
        <v>15</v>
      </c>
      <c r="F76" s="19" t="s">
        <v>45</v>
      </c>
      <c r="G76" s="19" t="n">
        <v>5</v>
      </c>
      <c r="H76" s="19" t="n">
        <v>1</v>
      </c>
      <c r="I76" s="19" t="n">
        <v>0</v>
      </c>
      <c r="J76" s="19" t="n">
        <v>0</v>
      </c>
      <c r="K76" s="19" t="s">
        <v>272</v>
      </c>
      <c r="L76" s="21" t="n">
        <v>46283</v>
      </c>
      <c r="M76" s="19" t="s">
        <v>80</v>
      </c>
      <c r="N76" s="22" t="n">
        <f aca="false">MIN(10,H76+I76+2*J76+IF(C76="Female",1,0)+IF(G76&gt;=7,2,IF(G76&gt;=5,1,0))+IF(F76="Tent",1,0))</f>
        <v>4</v>
      </c>
      <c r="O76" s="19" t="str">
        <f aca="false">IF(N76&gt;=6,"High",IF(N76&gt;=3,"Medium","Low"))</f>
        <v>Medium</v>
      </c>
    </row>
    <row r="77" customFormat="false" ht="15" hidden="false" customHeight="false" outlineLevel="0" collapsed="false">
      <c r="A77" s="19" t="s">
        <v>273</v>
      </c>
      <c r="B77" s="20" t="s">
        <v>274</v>
      </c>
      <c r="C77" s="19" t="s">
        <v>44</v>
      </c>
      <c r="D77" s="19" t="n">
        <v>73</v>
      </c>
      <c r="E77" s="19" t="s">
        <v>18</v>
      </c>
      <c r="F77" s="19" t="s">
        <v>45</v>
      </c>
      <c r="G77" s="19" t="n">
        <v>9</v>
      </c>
      <c r="H77" s="19" t="n">
        <v>1</v>
      </c>
      <c r="I77" s="19" t="n">
        <v>0</v>
      </c>
      <c r="J77" s="19" t="n">
        <v>0</v>
      </c>
      <c r="K77" s="19" t="s">
        <v>275</v>
      </c>
      <c r="L77" s="21" t="n">
        <v>46291</v>
      </c>
      <c r="M77" s="19" t="s">
        <v>80</v>
      </c>
      <c r="N77" s="22" t="n">
        <f aca="false">MIN(10,H77+I77+2*J77+IF(C77="Female",1,0)+IF(G77&gt;=7,2,IF(G77&gt;=5,1,0))+IF(F77="Tent",1,0))</f>
        <v>4</v>
      </c>
      <c r="O77" s="19" t="str">
        <f aca="false">IF(N77&gt;=6,"High",IF(N77&gt;=3,"Medium","Low"))</f>
        <v>Medium</v>
      </c>
    </row>
    <row r="78" customFormat="false" ht="15" hidden="false" customHeight="false" outlineLevel="0" collapsed="false">
      <c r="A78" s="19" t="s">
        <v>276</v>
      </c>
      <c r="B78" s="20" t="s">
        <v>277</v>
      </c>
      <c r="C78" s="19" t="s">
        <v>54</v>
      </c>
      <c r="D78" s="19" t="n">
        <v>49</v>
      </c>
      <c r="E78" s="19" t="s">
        <v>14</v>
      </c>
      <c r="F78" s="19" t="s">
        <v>50</v>
      </c>
      <c r="G78" s="19" t="n">
        <v>6</v>
      </c>
      <c r="H78" s="19" t="n">
        <v>1</v>
      </c>
      <c r="I78" s="19" t="n">
        <v>0</v>
      </c>
      <c r="J78" s="19" t="n">
        <v>0</v>
      </c>
      <c r="K78" s="19" t="s">
        <v>278</v>
      </c>
      <c r="L78" s="21" t="n">
        <v>46280</v>
      </c>
      <c r="M78" s="19" t="s">
        <v>66</v>
      </c>
      <c r="N78" s="22" t="n">
        <f aca="false">MIN(10,H78+I78+2*J78+IF(C78="Female",1,0)+IF(G78&gt;=7,2,IF(G78&gt;=5,1,0))+IF(F78="Tent",1,0))</f>
        <v>3</v>
      </c>
      <c r="O78" s="19" t="str">
        <f aca="false">IF(N78&gt;=6,"High",IF(N78&gt;=3,"Medium","Low"))</f>
        <v>Medium</v>
      </c>
    </row>
    <row r="79" customFormat="false" ht="15" hidden="false" customHeight="false" outlineLevel="0" collapsed="false">
      <c r="A79" s="19" t="s">
        <v>279</v>
      </c>
      <c r="B79" s="20" t="s">
        <v>211</v>
      </c>
      <c r="C79" s="19" t="s">
        <v>44</v>
      </c>
      <c r="D79" s="19" t="n">
        <v>21</v>
      </c>
      <c r="E79" s="19" t="s">
        <v>16</v>
      </c>
      <c r="F79" s="19" t="s">
        <v>55</v>
      </c>
      <c r="G79" s="19" t="n">
        <v>7</v>
      </c>
      <c r="H79" s="19" t="n">
        <v>1</v>
      </c>
      <c r="I79" s="19" t="n">
        <v>0</v>
      </c>
      <c r="J79" s="19" t="n">
        <v>0</v>
      </c>
      <c r="K79" s="19" t="s">
        <v>280</v>
      </c>
      <c r="L79" s="21" t="n">
        <v>46268</v>
      </c>
      <c r="M79" s="19" t="s">
        <v>47</v>
      </c>
      <c r="N79" s="22" t="n">
        <f aca="false">MIN(10,H79+I79+2*J79+IF(C79="Female",1,0)+IF(G79&gt;=7,2,IF(G79&gt;=5,1,0))+IF(F79="Tent",1,0))</f>
        <v>3</v>
      </c>
      <c r="O79" s="19" t="str">
        <f aca="false">IF(N79&gt;=6,"High",IF(N79&gt;=3,"Medium","Low"))</f>
        <v>Medium</v>
      </c>
    </row>
    <row r="80" customFormat="false" ht="15" hidden="false" customHeight="false" outlineLevel="0" collapsed="false">
      <c r="A80" s="19" t="s">
        <v>281</v>
      </c>
      <c r="B80" s="20" t="s">
        <v>282</v>
      </c>
      <c r="C80" s="19" t="s">
        <v>54</v>
      </c>
      <c r="D80" s="19" t="n">
        <v>75</v>
      </c>
      <c r="E80" s="19" t="s">
        <v>17</v>
      </c>
      <c r="F80" s="19" t="s">
        <v>50</v>
      </c>
      <c r="G80" s="19" t="n">
        <v>5</v>
      </c>
      <c r="H80" s="19" t="n">
        <v>0</v>
      </c>
      <c r="I80" s="19" t="n">
        <v>2</v>
      </c>
      <c r="J80" s="19" t="n">
        <v>0</v>
      </c>
      <c r="K80" s="19" t="s">
        <v>283</v>
      </c>
      <c r="L80" s="21" t="n">
        <v>46275</v>
      </c>
      <c r="M80" s="19" t="s">
        <v>80</v>
      </c>
      <c r="N80" s="22" t="n">
        <f aca="false">MIN(10,H80+I80+2*J80+IF(C80="Female",1,0)+IF(G80&gt;=7,2,IF(G80&gt;=5,1,0))+IF(F80="Tent",1,0))</f>
        <v>4</v>
      </c>
      <c r="O80" s="19" t="str">
        <f aca="false">IF(N80&gt;=6,"High",IF(N80&gt;=3,"Medium","Low"))</f>
        <v>Medium</v>
      </c>
    </row>
    <row r="81" customFormat="false" ht="15" hidden="false" customHeight="false" outlineLevel="0" collapsed="false">
      <c r="A81" s="19" t="s">
        <v>284</v>
      </c>
      <c r="B81" s="20" t="s">
        <v>285</v>
      </c>
      <c r="C81" s="19" t="s">
        <v>44</v>
      </c>
      <c r="D81" s="19" t="n">
        <v>53</v>
      </c>
      <c r="E81" s="19" t="s">
        <v>16</v>
      </c>
      <c r="F81" s="19" t="s">
        <v>45</v>
      </c>
      <c r="G81" s="19" t="n">
        <v>7</v>
      </c>
      <c r="H81" s="19" t="n">
        <v>0</v>
      </c>
      <c r="I81" s="19" t="n">
        <v>0</v>
      </c>
      <c r="J81" s="19" t="n">
        <v>0</v>
      </c>
      <c r="K81" s="19" t="s">
        <v>286</v>
      </c>
      <c r="L81" s="21" t="n">
        <v>46289</v>
      </c>
      <c r="M81" s="19" t="s">
        <v>47</v>
      </c>
      <c r="N81" s="22" t="n">
        <f aca="false">MIN(10,H81+I81+2*J81+IF(C81="Female",1,0)+IF(G81&gt;=7,2,IF(G81&gt;=5,1,0))+IF(F81="Tent",1,0))</f>
        <v>3</v>
      </c>
      <c r="O81" s="19" t="str">
        <f aca="false">IF(N81&gt;=6,"High",IF(N81&gt;=3,"Medium","Low"))</f>
        <v>Medium</v>
      </c>
    </row>
    <row r="82" customFormat="false" ht="15" hidden="false" customHeight="false" outlineLevel="0" collapsed="false">
      <c r="A82" s="19" t="s">
        <v>287</v>
      </c>
      <c r="B82" s="20" t="s">
        <v>288</v>
      </c>
      <c r="C82" s="19" t="s">
        <v>44</v>
      </c>
      <c r="D82" s="19" t="n">
        <v>32</v>
      </c>
      <c r="E82" s="19" t="s">
        <v>14</v>
      </c>
      <c r="F82" s="19" t="s">
        <v>50</v>
      </c>
      <c r="G82" s="19" t="n">
        <v>7</v>
      </c>
      <c r="H82" s="19" t="n">
        <v>1</v>
      </c>
      <c r="I82" s="19" t="n">
        <v>0</v>
      </c>
      <c r="J82" s="19" t="n">
        <v>0</v>
      </c>
      <c r="K82" s="19" t="s">
        <v>289</v>
      </c>
      <c r="L82" s="21" t="n">
        <v>46302</v>
      </c>
      <c r="M82" s="19" t="s">
        <v>47</v>
      </c>
      <c r="N82" s="22" t="n">
        <f aca="false">MIN(10,H82+I82+2*J82+IF(C82="Female",1,0)+IF(G82&gt;=7,2,IF(G82&gt;=5,1,0))+IF(F82="Tent",1,0))</f>
        <v>3</v>
      </c>
      <c r="O82" s="19" t="str">
        <f aca="false">IF(N82&gt;=6,"High",IF(N82&gt;=3,"Medium","Low"))</f>
        <v>Medium</v>
      </c>
    </row>
    <row r="83" customFormat="false" ht="15" hidden="false" customHeight="false" outlineLevel="0" collapsed="false">
      <c r="A83" s="19" t="s">
        <v>290</v>
      </c>
      <c r="B83" s="20" t="s">
        <v>291</v>
      </c>
      <c r="C83" s="19" t="s">
        <v>44</v>
      </c>
      <c r="D83" s="19" t="n">
        <v>70</v>
      </c>
      <c r="E83" s="19" t="s">
        <v>15</v>
      </c>
      <c r="F83" s="19" t="s">
        <v>45</v>
      </c>
      <c r="G83" s="19" t="n">
        <v>8</v>
      </c>
      <c r="H83" s="19" t="n">
        <v>2</v>
      </c>
      <c r="I83" s="19" t="n">
        <v>0</v>
      </c>
      <c r="J83" s="19" t="n">
        <v>0</v>
      </c>
      <c r="K83" s="19" t="s">
        <v>292</v>
      </c>
      <c r="L83" s="21" t="n">
        <v>46282</v>
      </c>
      <c r="M83" s="19" t="s">
        <v>80</v>
      </c>
      <c r="N83" s="22" t="n">
        <f aca="false">MIN(10,H83+I83+2*J83+IF(C83="Female",1,0)+IF(G83&gt;=7,2,IF(G83&gt;=5,1,0))+IF(F83="Tent",1,0))</f>
        <v>5</v>
      </c>
      <c r="O83" s="19" t="str">
        <f aca="false">IF(N83&gt;=6,"High",IF(N83&gt;=3,"Medium","Low"))</f>
        <v>Medium</v>
      </c>
    </row>
    <row r="84" customFormat="false" ht="15" hidden="false" customHeight="false" outlineLevel="0" collapsed="false">
      <c r="A84" s="19" t="s">
        <v>293</v>
      </c>
      <c r="B84" s="20" t="s">
        <v>294</v>
      </c>
      <c r="C84" s="19" t="s">
        <v>54</v>
      </c>
      <c r="D84" s="19" t="n">
        <v>49</v>
      </c>
      <c r="E84" s="19" t="s">
        <v>17</v>
      </c>
      <c r="F84" s="19" t="s">
        <v>50</v>
      </c>
      <c r="G84" s="19" t="n">
        <v>7</v>
      </c>
      <c r="H84" s="19" t="n">
        <v>0</v>
      </c>
      <c r="I84" s="19" t="n">
        <v>0</v>
      </c>
      <c r="J84" s="19" t="n">
        <v>0</v>
      </c>
      <c r="K84" s="19" t="s">
        <v>295</v>
      </c>
      <c r="L84" s="21" t="n">
        <v>46270</v>
      </c>
      <c r="M84" s="19" t="s">
        <v>47</v>
      </c>
      <c r="N84" s="22" t="n">
        <f aca="false">MIN(10,H84+I84+2*J84+IF(C84="Female",1,0)+IF(G84&gt;=7,2,IF(G84&gt;=5,1,0))+IF(F84="Tent",1,0))</f>
        <v>3</v>
      </c>
      <c r="O84" s="19" t="str">
        <f aca="false">IF(N84&gt;=6,"High",IF(N84&gt;=3,"Medium","Low"))</f>
        <v>Medium</v>
      </c>
    </row>
    <row r="85" customFormat="false" ht="15" hidden="false" customHeight="false" outlineLevel="0" collapsed="false">
      <c r="A85" s="19" t="s">
        <v>296</v>
      </c>
      <c r="B85" s="20" t="s">
        <v>297</v>
      </c>
      <c r="C85" s="19" t="s">
        <v>54</v>
      </c>
      <c r="D85" s="19" t="n">
        <v>22</v>
      </c>
      <c r="E85" s="19" t="s">
        <v>17</v>
      </c>
      <c r="F85" s="19" t="s">
        <v>50</v>
      </c>
      <c r="G85" s="19" t="n">
        <v>11</v>
      </c>
      <c r="H85" s="19" t="n">
        <v>0</v>
      </c>
      <c r="I85" s="19" t="n">
        <v>1</v>
      </c>
      <c r="J85" s="19" t="n">
        <v>1</v>
      </c>
      <c r="K85" s="19" t="s">
        <v>298</v>
      </c>
      <c r="L85" s="21" t="n">
        <v>46267</v>
      </c>
      <c r="M85" s="19" t="s">
        <v>47</v>
      </c>
      <c r="N85" s="22" t="n">
        <f aca="false">MIN(10,H85+I85+2*J85+IF(C85="Female",1,0)+IF(G85&gt;=7,2,IF(G85&gt;=5,1,0))+IF(F85="Tent",1,0))</f>
        <v>6</v>
      </c>
      <c r="O85" s="19" t="str">
        <f aca="false">IF(N85&gt;=6,"High",IF(N85&gt;=3,"Medium","Low"))</f>
        <v>High</v>
      </c>
    </row>
    <row r="86" customFormat="false" ht="15" hidden="false" customHeight="false" outlineLevel="0" collapsed="false">
      <c r="A86" s="19" t="s">
        <v>299</v>
      </c>
      <c r="B86" s="20" t="s">
        <v>300</v>
      </c>
      <c r="C86" s="19" t="s">
        <v>54</v>
      </c>
      <c r="D86" s="19" t="n">
        <v>54</v>
      </c>
      <c r="E86" s="19" t="s">
        <v>16</v>
      </c>
      <c r="F86" s="19" t="s">
        <v>45</v>
      </c>
      <c r="G86" s="19" t="n">
        <v>2</v>
      </c>
      <c r="H86" s="19" t="n">
        <v>0</v>
      </c>
      <c r="I86" s="19" t="n">
        <v>0</v>
      </c>
      <c r="J86" s="19" t="n">
        <v>0</v>
      </c>
      <c r="K86" s="19" t="s">
        <v>301</v>
      </c>
      <c r="L86" s="21" t="n">
        <v>46303</v>
      </c>
      <c r="M86" s="19" t="s">
        <v>47</v>
      </c>
      <c r="N86" s="22" t="n">
        <f aca="false">MIN(10,H86+I86+2*J86+IF(C86="Female",1,0)+IF(G86&gt;=7,2,IF(G86&gt;=5,1,0))+IF(F86="Tent",1,0))</f>
        <v>2</v>
      </c>
      <c r="O86" s="19" t="str">
        <f aca="false">IF(N86&gt;=6,"High",IF(N86&gt;=3,"Medium","Low"))</f>
        <v>Low</v>
      </c>
    </row>
    <row r="87" customFormat="false" ht="15" hidden="false" customHeight="false" outlineLevel="0" collapsed="false">
      <c r="A87" s="19" t="s">
        <v>302</v>
      </c>
      <c r="B87" s="20" t="s">
        <v>303</v>
      </c>
      <c r="C87" s="19" t="s">
        <v>44</v>
      </c>
      <c r="D87" s="19" t="n">
        <v>46</v>
      </c>
      <c r="E87" s="19" t="s">
        <v>17</v>
      </c>
      <c r="F87" s="19" t="s">
        <v>55</v>
      </c>
      <c r="G87" s="19" t="n">
        <v>5</v>
      </c>
      <c r="H87" s="19" t="n">
        <v>2</v>
      </c>
      <c r="I87" s="19" t="n">
        <v>0</v>
      </c>
      <c r="J87" s="19" t="n">
        <v>0</v>
      </c>
      <c r="K87" s="19" t="s">
        <v>304</v>
      </c>
      <c r="L87" s="21" t="n">
        <v>46279</v>
      </c>
      <c r="M87" s="19" t="s">
        <v>47</v>
      </c>
      <c r="N87" s="22" t="n">
        <f aca="false">MIN(10,H87+I87+2*J87+IF(C87="Female",1,0)+IF(G87&gt;=7,2,IF(G87&gt;=5,1,0))+IF(F87="Tent",1,0))</f>
        <v>3</v>
      </c>
      <c r="O87" s="19" t="str">
        <f aca="false">IF(N87&gt;=6,"High",IF(N87&gt;=3,"Medium","Low"))</f>
        <v>Medium</v>
      </c>
    </row>
    <row r="88" customFormat="false" ht="15" hidden="false" customHeight="false" outlineLevel="0" collapsed="false">
      <c r="A88" s="19" t="s">
        <v>305</v>
      </c>
      <c r="B88" s="20" t="s">
        <v>306</v>
      </c>
      <c r="C88" s="19" t="s">
        <v>44</v>
      </c>
      <c r="D88" s="19" t="n">
        <v>24</v>
      </c>
      <c r="E88" s="19" t="s">
        <v>14</v>
      </c>
      <c r="F88" s="19" t="s">
        <v>45</v>
      </c>
      <c r="G88" s="19" t="n">
        <v>8</v>
      </c>
      <c r="H88" s="19" t="n">
        <v>0</v>
      </c>
      <c r="I88" s="19" t="n">
        <v>0</v>
      </c>
      <c r="J88" s="19" t="n">
        <v>0</v>
      </c>
      <c r="K88" s="19" t="s">
        <v>307</v>
      </c>
      <c r="L88" s="21" t="n">
        <v>46270</v>
      </c>
      <c r="M88" s="19" t="s">
        <v>47</v>
      </c>
      <c r="N88" s="22" t="n">
        <f aca="false">MIN(10,H88+I88+2*J88+IF(C88="Female",1,0)+IF(G88&gt;=7,2,IF(G88&gt;=5,1,0))+IF(F88="Tent",1,0))</f>
        <v>3</v>
      </c>
      <c r="O88" s="19" t="str">
        <f aca="false">IF(N88&gt;=6,"High",IF(N88&gt;=3,"Medium","Low"))</f>
        <v>Medium</v>
      </c>
    </row>
    <row r="89" customFormat="false" ht="15" hidden="false" customHeight="false" outlineLevel="0" collapsed="false">
      <c r="A89" s="19" t="s">
        <v>308</v>
      </c>
      <c r="B89" s="20" t="s">
        <v>309</v>
      </c>
      <c r="C89" s="19" t="s">
        <v>44</v>
      </c>
      <c r="D89" s="19" t="n">
        <v>74</v>
      </c>
      <c r="E89" s="19" t="s">
        <v>14</v>
      </c>
      <c r="F89" s="19" t="s">
        <v>55</v>
      </c>
      <c r="G89" s="19" t="n">
        <v>2</v>
      </c>
      <c r="H89" s="19" t="n">
        <v>1</v>
      </c>
      <c r="I89" s="19" t="n">
        <v>0</v>
      </c>
      <c r="J89" s="19" t="n">
        <v>0</v>
      </c>
      <c r="K89" s="19" t="s">
        <v>310</v>
      </c>
      <c r="L89" s="21" t="n">
        <v>46293</v>
      </c>
      <c r="M89" s="19" t="s">
        <v>80</v>
      </c>
      <c r="N89" s="22" t="n">
        <f aca="false">MIN(10,H89+I89+2*J89+IF(C89="Female",1,0)+IF(G89&gt;=7,2,IF(G89&gt;=5,1,0))+IF(F89="Tent",1,0))</f>
        <v>1</v>
      </c>
      <c r="O89" s="19" t="str">
        <f aca="false">IF(N89&gt;=6,"High",IF(N89&gt;=3,"Medium","Low"))</f>
        <v>Low</v>
      </c>
    </row>
    <row r="90" customFormat="false" ht="15" hidden="false" customHeight="false" outlineLevel="0" collapsed="false">
      <c r="A90" s="19" t="s">
        <v>311</v>
      </c>
      <c r="B90" s="20" t="s">
        <v>312</v>
      </c>
      <c r="C90" s="19" t="s">
        <v>44</v>
      </c>
      <c r="D90" s="19" t="n">
        <v>55</v>
      </c>
      <c r="E90" s="19" t="s">
        <v>15</v>
      </c>
      <c r="F90" s="19" t="s">
        <v>50</v>
      </c>
      <c r="G90" s="19" t="n">
        <v>4</v>
      </c>
      <c r="H90" s="19" t="n">
        <v>1</v>
      </c>
      <c r="I90" s="19" t="n">
        <v>0</v>
      </c>
      <c r="J90" s="19" t="n">
        <v>0</v>
      </c>
      <c r="K90" s="19" t="s">
        <v>313</v>
      </c>
      <c r="L90" s="21" t="n">
        <v>46283</v>
      </c>
      <c r="M90" s="19" t="s">
        <v>80</v>
      </c>
      <c r="N90" s="22" t="n">
        <f aca="false">MIN(10,H90+I90+2*J90+IF(C90="Female",1,0)+IF(G90&gt;=7,2,IF(G90&gt;=5,1,0))+IF(F90="Tent",1,0))</f>
        <v>1</v>
      </c>
      <c r="O90" s="19" t="str">
        <f aca="false">IF(N90&gt;=6,"High",IF(N90&gt;=3,"Medium","Low"))</f>
        <v>Low</v>
      </c>
    </row>
    <row r="91" customFormat="false" ht="15" hidden="false" customHeight="false" outlineLevel="0" collapsed="false">
      <c r="A91" s="19" t="s">
        <v>314</v>
      </c>
      <c r="B91" s="20" t="s">
        <v>315</v>
      </c>
      <c r="C91" s="19" t="s">
        <v>44</v>
      </c>
      <c r="D91" s="19" t="n">
        <v>63</v>
      </c>
      <c r="E91" s="19" t="s">
        <v>16</v>
      </c>
      <c r="F91" s="19" t="s">
        <v>55</v>
      </c>
      <c r="G91" s="19" t="n">
        <v>7</v>
      </c>
      <c r="H91" s="19" t="n">
        <v>1</v>
      </c>
      <c r="I91" s="19" t="n">
        <v>0</v>
      </c>
      <c r="J91" s="19" t="n">
        <v>0</v>
      </c>
      <c r="K91" s="19" t="s">
        <v>316</v>
      </c>
      <c r="L91" s="21" t="n">
        <v>46283</v>
      </c>
      <c r="M91" s="19" t="s">
        <v>47</v>
      </c>
      <c r="N91" s="22" t="n">
        <f aca="false">MIN(10,H91+I91+2*J91+IF(C91="Female",1,0)+IF(G91&gt;=7,2,IF(G91&gt;=5,1,0))+IF(F91="Tent",1,0))</f>
        <v>3</v>
      </c>
      <c r="O91" s="19" t="str">
        <f aca="false">IF(N91&gt;=6,"High",IF(N91&gt;=3,"Medium","Low"))</f>
        <v>Medium</v>
      </c>
    </row>
    <row r="92" customFormat="false" ht="15" hidden="false" customHeight="false" outlineLevel="0" collapsed="false">
      <c r="A92" s="19" t="s">
        <v>317</v>
      </c>
      <c r="B92" s="20" t="s">
        <v>318</v>
      </c>
      <c r="C92" s="19" t="s">
        <v>54</v>
      </c>
      <c r="D92" s="19" t="n">
        <v>43</v>
      </c>
      <c r="E92" s="19" t="s">
        <v>17</v>
      </c>
      <c r="F92" s="19" t="s">
        <v>72</v>
      </c>
      <c r="G92" s="19" t="n">
        <v>7</v>
      </c>
      <c r="H92" s="19" t="n">
        <v>0</v>
      </c>
      <c r="I92" s="19" t="n">
        <v>1</v>
      </c>
      <c r="J92" s="19" t="n">
        <v>2</v>
      </c>
      <c r="K92" s="19" t="s">
        <v>319</v>
      </c>
      <c r="L92" s="21" t="n">
        <v>46279</v>
      </c>
      <c r="M92" s="19" t="s">
        <v>47</v>
      </c>
      <c r="N92" s="22" t="n">
        <f aca="false">MIN(10,H92+I92+2*J92+IF(C92="Female",1,0)+IF(G92&gt;=7,2,IF(G92&gt;=5,1,0))+IF(F92="Tent",1,0))</f>
        <v>8</v>
      </c>
      <c r="O92" s="19" t="str">
        <f aca="false">IF(N92&gt;=6,"High",IF(N92&gt;=3,"Medium","Low"))</f>
        <v>High</v>
      </c>
    </row>
    <row r="93" customFormat="false" ht="15" hidden="false" customHeight="false" outlineLevel="0" collapsed="false">
      <c r="A93" s="19" t="s">
        <v>320</v>
      </c>
      <c r="B93" s="20" t="s">
        <v>321</v>
      </c>
      <c r="C93" s="19" t="s">
        <v>44</v>
      </c>
      <c r="D93" s="19" t="n">
        <v>47</v>
      </c>
      <c r="E93" s="19" t="s">
        <v>17</v>
      </c>
      <c r="F93" s="19" t="s">
        <v>72</v>
      </c>
      <c r="G93" s="19" t="n">
        <v>7</v>
      </c>
      <c r="H93" s="19" t="n">
        <v>2</v>
      </c>
      <c r="I93" s="19" t="n">
        <v>0</v>
      </c>
      <c r="J93" s="19" t="n">
        <v>0</v>
      </c>
      <c r="K93" s="19" t="s">
        <v>322</v>
      </c>
      <c r="L93" s="21" t="n">
        <v>46283</v>
      </c>
      <c r="M93" s="19" t="s">
        <v>47</v>
      </c>
      <c r="N93" s="22" t="n">
        <f aca="false">MIN(10,H93+I93+2*J93+IF(C93="Female",1,0)+IF(G93&gt;=7,2,IF(G93&gt;=5,1,0))+IF(F93="Tent",1,0))</f>
        <v>4</v>
      </c>
      <c r="O93" s="19" t="str">
        <f aca="false">IF(N93&gt;=6,"High",IF(N93&gt;=3,"Medium","Low"))</f>
        <v>Medium</v>
      </c>
    </row>
    <row r="94" customFormat="false" ht="15" hidden="false" customHeight="false" outlineLevel="0" collapsed="false">
      <c r="A94" s="19" t="s">
        <v>323</v>
      </c>
      <c r="B94" s="20" t="s">
        <v>324</v>
      </c>
      <c r="C94" s="19" t="s">
        <v>54</v>
      </c>
      <c r="D94" s="19" t="n">
        <v>21</v>
      </c>
      <c r="E94" s="19" t="s">
        <v>15</v>
      </c>
      <c r="F94" s="19" t="s">
        <v>45</v>
      </c>
      <c r="G94" s="19" t="n">
        <v>3</v>
      </c>
      <c r="H94" s="19" t="n">
        <v>1</v>
      </c>
      <c r="I94" s="19" t="n">
        <v>0</v>
      </c>
      <c r="J94" s="19" t="n">
        <v>0</v>
      </c>
      <c r="K94" s="19" t="s">
        <v>325</v>
      </c>
      <c r="L94" s="21" t="n">
        <v>46285</v>
      </c>
      <c r="M94" s="19" t="s">
        <v>47</v>
      </c>
      <c r="N94" s="22" t="n">
        <f aca="false">MIN(10,H94+I94+2*J94+IF(C94="Female",1,0)+IF(G94&gt;=7,2,IF(G94&gt;=5,1,0))+IF(F94="Tent",1,0))</f>
        <v>3</v>
      </c>
      <c r="O94" s="19" t="str">
        <f aca="false">IF(N94&gt;=6,"High",IF(N94&gt;=3,"Medium","Low"))</f>
        <v>Medium</v>
      </c>
    </row>
    <row r="95" customFormat="false" ht="15" hidden="false" customHeight="false" outlineLevel="0" collapsed="false">
      <c r="A95" s="19" t="s">
        <v>326</v>
      </c>
      <c r="B95" s="20" t="s">
        <v>327</v>
      </c>
      <c r="C95" s="19" t="s">
        <v>54</v>
      </c>
      <c r="D95" s="19" t="n">
        <v>27</v>
      </c>
      <c r="E95" s="19" t="s">
        <v>17</v>
      </c>
      <c r="F95" s="19" t="s">
        <v>72</v>
      </c>
      <c r="G95" s="19" t="n">
        <v>8</v>
      </c>
      <c r="H95" s="19" t="n">
        <v>2</v>
      </c>
      <c r="I95" s="19" t="n">
        <v>0</v>
      </c>
      <c r="J95" s="19" t="n">
        <v>0</v>
      </c>
      <c r="K95" s="19" t="s">
        <v>328</v>
      </c>
      <c r="L95" s="21" t="n">
        <v>46277</v>
      </c>
      <c r="M95" s="19" t="s">
        <v>47</v>
      </c>
      <c r="N95" s="22" t="n">
        <f aca="false">MIN(10,H95+I95+2*J95+IF(C95="Female",1,0)+IF(G95&gt;=7,2,IF(G95&gt;=5,1,0))+IF(F95="Tent",1,0))</f>
        <v>5</v>
      </c>
      <c r="O95" s="19" t="str">
        <f aca="false">IF(N95&gt;=6,"High",IF(N95&gt;=3,"Medium","Low"))</f>
        <v>Medium</v>
      </c>
    </row>
    <row r="96" customFormat="false" ht="15" hidden="false" customHeight="false" outlineLevel="0" collapsed="false">
      <c r="A96" s="19" t="s">
        <v>329</v>
      </c>
      <c r="B96" s="20" t="s">
        <v>330</v>
      </c>
      <c r="C96" s="19" t="s">
        <v>44</v>
      </c>
      <c r="D96" s="19" t="n">
        <v>46</v>
      </c>
      <c r="E96" s="19" t="s">
        <v>18</v>
      </c>
      <c r="F96" s="19" t="s">
        <v>45</v>
      </c>
      <c r="G96" s="19" t="n">
        <v>5</v>
      </c>
      <c r="H96" s="19" t="n">
        <v>1</v>
      </c>
      <c r="I96" s="19" t="n">
        <v>0</v>
      </c>
      <c r="J96" s="19" t="n">
        <v>0</v>
      </c>
      <c r="K96" s="19" t="s">
        <v>331</v>
      </c>
      <c r="L96" s="21" t="n">
        <v>46302</v>
      </c>
      <c r="M96" s="19" t="s">
        <v>80</v>
      </c>
      <c r="N96" s="22" t="n">
        <f aca="false">MIN(10,H96+I96+2*J96+IF(C96="Female",1,0)+IF(G96&gt;=7,2,IF(G96&gt;=5,1,0))+IF(F96="Tent",1,0))</f>
        <v>3</v>
      </c>
      <c r="O96" s="19" t="str">
        <f aca="false">IF(N96&gt;=6,"High",IF(N96&gt;=3,"Medium","Low"))</f>
        <v>Medium</v>
      </c>
    </row>
    <row r="97" customFormat="false" ht="15" hidden="false" customHeight="false" outlineLevel="0" collapsed="false">
      <c r="A97" s="19" t="s">
        <v>332</v>
      </c>
      <c r="B97" s="20" t="s">
        <v>333</v>
      </c>
      <c r="C97" s="19" t="s">
        <v>44</v>
      </c>
      <c r="D97" s="19" t="n">
        <v>34</v>
      </c>
      <c r="E97" s="19" t="s">
        <v>17</v>
      </c>
      <c r="F97" s="19" t="s">
        <v>72</v>
      </c>
      <c r="G97" s="19" t="n">
        <v>11</v>
      </c>
      <c r="H97" s="19" t="n">
        <v>0</v>
      </c>
      <c r="I97" s="19" t="n">
        <v>2</v>
      </c>
      <c r="J97" s="19" t="n">
        <v>0</v>
      </c>
      <c r="K97" s="19" t="s">
        <v>334</v>
      </c>
      <c r="L97" s="21" t="n">
        <v>46272</v>
      </c>
      <c r="M97" s="19" t="s">
        <v>47</v>
      </c>
      <c r="N97" s="22" t="n">
        <f aca="false">MIN(10,H97+I97+2*J97+IF(C97="Female",1,0)+IF(G97&gt;=7,2,IF(G97&gt;=5,1,0))+IF(F97="Tent",1,0))</f>
        <v>4</v>
      </c>
      <c r="O97" s="19" t="str">
        <f aca="false">IF(N97&gt;=6,"High",IF(N97&gt;=3,"Medium","Low"))</f>
        <v>Medium</v>
      </c>
    </row>
    <row r="98" customFormat="false" ht="15" hidden="false" customHeight="false" outlineLevel="0" collapsed="false">
      <c r="A98" s="19" t="s">
        <v>335</v>
      </c>
      <c r="B98" s="20" t="s">
        <v>274</v>
      </c>
      <c r="C98" s="19" t="s">
        <v>44</v>
      </c>
      <c r="D98" s="19" t="n">
        <v>41</v>
      </c>
      <c r="E98" s="19" t="s">
        <v>15</v>
      </c>
      <c r="F98" s="19" t="s">
        <v>45</v>
      </c>
      <c r="G98" s="19" t="n">
        <v>4</v>
      </c>
      <c r="H98" s="19" t="n">
        <v>2</v>
      </c>
      <c r="I98" s="19" t="n">
        <v>0</v>
      </c>
      <c r="J98" s="19" t="n">
        <v>0</v>
      </c>
      <c r="K98" s="19" t="s">
        <v>336</v>
      </c>
      <c r="L98" s="21" t="n">
        <v>46288</v>
      </c>
      <c r="M98" s="19" t="s">
        <v>47</v>
      </c>
      <c r="N98" s="22" t="n">
        <f aca="false">MIN(10,H98+I98+2*J98+IF(C98="Female",1,0)+IF(G98&gt;=7,2,IF(G98&gt;=5,1,0))+IF(F98="Tent",1,0))</f>
        <v>3</v>
      </c>
      <c r="O98" s="19" t="str">
        <f aca="false">IF(N98&gt;=6,"High",IF(N98&gt;=3,"Medium","Low"))</f>
        <v>Medium</v>
      </c>
    </row>
    <row r="99" customFormat="false" ht="15" hidden="false" customHeight="false" outlineLevel="0" collapsed="false">
      <c r="A99" s="19" t="s">
        <v>337</v>
      </c>
      <c r="B99" s="20" t="s">
        <v>338</v>
      </c>
      <c r="C99" s="19" t="s">
        <v>54</v>
      </c>
      <c r="D99" s="19" t="n">
        <v>67</v>
      </c>
      <c r="E99" s="19" t="s">
        <v>18</v>
      </c>
      <c r="F99" s="19" t="s">
        <v>45</v>
      </c>
      <c r="G99" s="19" t="n">
        <v>8</v>
      </c>
      <c r="H99" s="19" t="n">
        <v>1</v>
      </c>
      <c r="I99" s="19" t="n">
        <v>0</v>
      </c>
      <c r="J99" s="19" t="n">
        <v>0</v>
      </c>
      <c r="K99" s="19" t="s">
        <v>339</v>
      </c>
      <c r="L99" s="21" t="n">
        <v>46302</v>
      </c>
      <c r="M99" s="19" t="s">
        <v>66</v>
      </c>
      <c r="N99" s="22" t="n">
        <f aca="false">MIN(10,H99+I99+2*J99+IF(C99="Female",1,0)+IF(G99&gt;=7,2,IF(G99&gt;=5,1,0))+IF(F99="Tent",1,0))</f>
        <v>5</v>
      </c>
      <c r="O99" s="19" t="str">
        <f aca="false">IF(N99&gt;=6,"High",IF(N99&gt;=3,"Medium","Low"))</f>
        <v>Medium</v>
      </c>
    </row>
    <row r="100" customFormat="false" ht="15" hidden="false" customHeight="false" outlineLevel="0" collapsed="false">
      <c r="A100" s="19" t="s">
        <v>340</v>
      </c>
      <c r="B100" s="20" t="s">
        <v>341</v>
      </c>
      <c r="C100" s="19" t="s">
        <v>44</v>
      </c>
      <c r="D100" s="19" t="n">
        <v>56</v>
      </c>
      <c r="E100" s="19" t="s">
        <v>14</v>
      </c>
      <c r="F100" s="19" t="s">
        <v>45</v>
      </c>
      <c r="G100" s="19" t="n">
        <v>9</v>
      </c>
      <c r="H100" s="19" t="n">
        <v>1</v>
      </c>
      <c r="I100" s="19" t="n">
        <v>0</v>
      </c>
      <c r="J100" s="19" t="n">
        <v>0</v>
      </c>
      <c r="K100" s="19" t="s">
        <v>342</v>
      </c>
      <c r="L100" s="21" t="n">
        <v>46283</v>
      </c>
      <c r="M100" s="19" t="s">
        <v>47</v>
      </c>
      <c r="N100" s="22" t="n">
        <f aca="false">MIN(10,H100+I100+2*J100+IF(C100="Female",1,0)+IF(G100&gt;=7,2,IF(G100&gt;=5,1,0))+IF(F100="Tent",1,0))</f>
        <v>4</v>
      </c>
      <c r="O100" s="19" t="str">
        <f aca="false">IF(N100&gt;=6,"High",IF(N100&gt;=3,"Medium","Low"))</f>
        <v>Medium</v>
      </c>
    </row>
    <row r="101" customFormat="false" ht="15" hidden="false" customHeight="false" outlineLevel="0" collapsed="false">
      <c r="A101" s="19" t="s">
        <v>343</v>
      </c>
      <c r="B101" s="20" t="s">
        <v>344</v>
      </c>
      <c r="C101" s="19" t="s">
        <v>44</v>
      </c>
      <c r="D101" s="19" t="n">
        <v>43</v>
      </c>
      <c r="E101" s="19" t="s">
        <v>17</v>
      </c>
      <c r="F101" s="19" t="s">
        <v>72</v>
      </c>
      <c r="G101" s="19" t="n">
        <v>5</v>
      </c>
      <c r="H101" s="19" t="n">
        <v>0</v>
      </c>
      <c r="I101" s="19" t="n">
        <v>0</v>
      </c>
      <c r="J101" s="19" t="n">
        <v>2</v>
      </c>
      <c r="K101" s="19" t="s">
        <v>345</v>
      </c>
      <c r="L101" s="21" t="n">
        <v>46298</v>
      </c>
      <c r="M101" s="19" t="s">
        <v>66</v>
      </c>
      <c r="N101" s="22" t="n">
        <f aca="false">MIN(10,H101+I101+2*J101+IF(C101="Female",1,0)+IF(G101&gt;=7,2,IF(G101&gt;=5,1,0))+IF(F101="Tent",1,0))</f>
        <v>5</v>
      </c>
      <c r="O101" s="19" t="str">
        <f aca="false">IF(N101&gt;=6,"High",IF(N101&gt;=3,"Medium","Low"))</f>
        <v>Medium</v>
      </c>
    </row>
    <row r="102" customFormat="false" ht="15" hidden="false" customHeight="false" outlineLevel="0" collapsed="false">
      <c r="A102" s="19" t="s">
        <v>346</v>
      </c>
      <c r="B102" s="20" t="s">
        <v>347</v>
      </c>
      <c r="C102" s="19" t="s">
        <v>44</v>
      </c>
      <c r="D102" s="19" t="n">
        <v>25</v>
      </c>
      <c r="E102" s="19" t="s">
        <v>16</v>
      </c>
      <c r="F102" s="19" t="s">
        <v>55</v>
      </c>
      <c r="G102" s="19" t="n">
        <v>10</v>
      </c>
      <c r="H102" s="19" t="n">
        <v>1</v>
      </c>
      <c r="I102" s="19" t="n">
        <v>0</v>
      </c>
      <c r="J102" s="19" t="n">
        <v>0</v>
      </c>
      <c r="K102" s="19" t="s">
        <v>348</v>
      </c>
      <c r="L102" s="21" t="n">
        <v>46294</v>
      </c>
      <c r="M102" s="19" t="s">
        <v>47</v>
      </c>
      <c r="N102" s="22" t="n">
        <f aca="false">MIN(10,H102+I102+2*J102+IF(C102="Female",1,0)+IF(G102&gt;=7,2,IF(G102&gt;=5,1,0))+IF(F102="Tent",1,0))</f>
        <v>3</v>
      </c>
      <c r="O102" s="19" t="str">
        <f aca="false">IF(N102&gt;=6,"High",IF(N102&gt;=3,"Medium","Low"))</f>
        <v>Medium</v>
      </c>
    </row>
    <row r="103" customFormat="false" ht="15" hidden="false" customHeight="false" outlineLevel="0" collapsed="false">
      <c r="A103" s="19" t="s">
        <v>349</v>
      </c>
      <c r="B103" s="20" t="s">
        <v>350</v>
      </c>
      <c r="C103" s="19" t="s">
        <v>44</v>
      </c>
      <c r="D103" s="19" t="n">
        <v>45</v>
      </c>
      <c r="E103" s="19" t="s">
        <v>16</v>
      </c>
      <c r="F103" s="19" t="s">
        <v>50</v>
      </c>
      <c r="G103" s="19" t="n">
        <v>8</v>
      </c>
      <c r="H103" s="19" t="n">
        <v>3</v>
      </c>
      <c r="I103" s="19" t="n">
        <v>0</v>
      </c>
      <c r="J103" s="19" t="n">
        <v>0</v>
      </c>
      <c r="K103" s="19" t="s">
        <v>351</v>
      </c>
      <c r="L103" s="21" t="n">
        <v>46290</v>
      </c>
      <c r="M103" s="19" t="s">
        <v>47</v>
      </c>
      <c r="N103" s="22" t="n">
        <f aca="false">MIN(10,H103+I103+2*J103+IF(C103="Female",1,0)+IF(G103&gt;=7,2,IF(G103&gt;=5,1,0))+IF(F103="Tent",1,0))</f>
        <v>5</v>
      </c>
      <c r="O103" s="19" t="str">
        <f aca="false">IF(N103&gt;=6,"High",IF(N103&gt;=3,"Medium","Low"))</f>
        <v>Medium</v>
      </c>
    </row>
    <row r="104" customFormat="false" ht="15" hidden="false" customHeight="false" outlineLevel="0" collapsed="false">
      <c r="A104" s="19" t="s">
        <v>352</v>
      </c>
      <c r="B104" s="20" t="s">
        <v>353</v>
      </c>
      <c r="C104" s="19" t="s">
        <v>44</v>
      </c>
      <c r="D104" s="19" t="n">
        <v>24</v>
      </c>
      <c r="E104" s="19" t="s">
        <v>18</v>
      </c>
      <c r="F104" s="19" t="s">
        <v>50</v>
      </c>
      <c r="G104" s="19" t="n">
        <v>5</v>
      </c>
      <c r="H104" s="19" t="n">
        <v>1</v>
      </c>
      <c r="I104" s="19" t="n">
        <v>0</v>
      </c>
      <c r="J104" s="19" t="n">
        <v>0</v>
      </c>
      <c r="K104" s="19" t="s">
        <v>354</v>
      </c>
      <c r="L104" s="21" t="n">
        <v>46287</v>
      </c>
      <c r="M104" s="19" t="s">
        <v>66</v>
      </c>
      <c r="N104" s="22" t="n">
        <f aca="false">MIN(10,H104+I104+2*J104+IF(C104="Female",1,0)+IF(G104&gt;=7,2,IF(G104&gt;=5,1,0))+IF(F104="Tent",1,0))</f>
        <v>2</v>
      </c>
      <c r="O104" s="19" t="str">
        <f aca="false">IF(N104&gt;=6,"High",IF(N104&gt;=3,"Medium","Low"))</f>
        <v>Low</v>
      </c>
    </row>
    <row r="105" customFormat="false" ht="15" hidden="false" customHeight="false" outlineLevel="0" collapsed="false">
      <c r="A105" s="19" t="s">
        <v>355</v>
      </c>
      <c r="B105" s="20" t="s">
        <v>356</v>
      </c>
      <c r="C105" s="19" t="s">
        <v>44</v>
      </c>
      <c r="D105" s="19" t="n">
        <v>24</v>
      </c>
      <c r="E105" s="19" t="s">
        <v>17</v>
      </c>
      <c r="F105" s="19" t="s">
        <v>72</v>
      </c>
      <c r="G105" s="19" t="n">
        <v>7</v>
      </c>
      <c r="H105" s="19" t="n">
        <v>3</v>
      </c>
      <c r="I105" s="19" t="n">
        <v>0</v>
      </c>
      <c r="J105" s="19" t="n">
        <v>0</v>
      </c>
      <c r="K105" s="19" t="s">
        <v>357</v>
      </c>
      <c r="L105" s="21" t="n">
        <v>46299</v>
      </c>
      <c r="M105" s="19" t="s">
        <v>47</v>
      </c>
      <c r="N105" s="22" t="n">
        <f aca="false">MIN(10,H105+I105+2*J105+IF(C105="Female",1,0)+IF(G105&gt;=7,2,IF(G105&gt;=5,1,0))+IF(F105="Tent",1,0))</f>
        <v>5</v>
      </c>
      <c r="O105" s="19" t="str">
        <f aca="false">IF(N105&gt;=6,"High",IF(N105&gt;=3,"Medium","Low"))</f>
        <v>Medium</v>
      </c>
    </row>
    <row r="106" customFormat="false" ht="15" hidden="false" customHeight="false" outlineLevel="0" collapsed="false">
      <c r="A106" s="19" t="s">
        <v>358</v>
      </c>
      <c r="B106" s="20" t="s">
        <v>359</v>
      </c>
      <c r="C106" s="19" t="s">
        <v>44</v>
      </c>
      <c r="D106" s="19" t="n">
        <v>51</v>
      </c>
      <c r="E106" s="19" t="s">
        <v>18</v>
      </c>
      <c r="F106" s="19" t="s">
        <v>50</v>
      </c>
      <c r="G106" s="19" t="n">
        <v>11</v>
      </c>
      <c r="H106" s="19" t="n">
        <v>1</v>
      </c>
      <c r="I106" s="19" t="n">
        <v>0</v>
      </c>
      <c r="J106" s="19" t="n">
        <v>0</v>
      </c>
      <c r="K106" s="19" t="s">
        <v>360</v>
      </c>
      <c r="L106" s="21" t="n">
        <v>46272</v>
      </c>
      <c r="M106" s="19" t="s">
        <v>80</v>
      </c>
      <c r="N106" s="22" t="n">
        <f aca="false">MIN(10,H106+I106+2*J106+IF(C106="Female",1,0)+IF(G106&gt;=7,2,IF(G106&gt;=5,1,0))+IF(F106="Tent",1,0))</f>
        <v>3</v>
      </c>
      <c r="O106" s="19" t="str">
        <f aca="false">IF(N106&gt;=6,"High",IF(N106&gt;=3,"Medium","Low"))</f>
        <v>Medium</v>
      </c>
    </row>
    <row r="107" customFormat="false" ht="15" hidden="false" customHeight="false" outlineLevel="0" collapsed="false">
      <c r="A107" s="19" t="s">
        <v>361</v>
      </c>
      <c r="B107" s="20" t="s">
        <v>362</v>
      </c>
      <c r="C107" s="19" t="s">
        <v>54</v>
      </c>
      <c r="D107" s="19" t="n">
        <v>21</v>
      </c>
      <c r="E107" s="19" t="s">
        <v>17</v>
      </c>
      <c r="F107" s="19" t="s">
        <v>45</v>
      </c>
      <c r="G107" s="19" t="n">
        <v>3</v>
      </c>
      <c r="H107" s="19" t="n">
        <v>0</v>
      </c>
      <c r="I107" s="19" t="n">
        <v>0</v>
      </c>
      <c r="J107" s="19" t="n">
        <v>1</v>
      </c>
      <c r="K107" s="19" t="s">
        <v>363</v>
      </c>
      <c r="L107" s="21" t="n">
        <v>46294</v>
      </c>
      <c r="M107" s="19" t="s">
        <v>80</v>
      </c>
      <c r="N107" s="22" t="n">
        <f aca="false">MIN(10,H107+I107+2*J107+IF(C107="Female",1,0)+IF(G107&gt;=7,2,IF(G107&gt;=5,1,0))+IF(F107="Tent",1,0))</f>
        <v>4</v>
      </c>
      <c r="O107" s="19" t="str">
        <f aca="false">IF(N107&gt;=6,"High",IF(N107&gt;=3,"Medium","Low"))</f>
        <v>Medium</v>
      </c>
    </row>
    <row r="108" customFormat="false" ht="15" hidden="false" customHeight="false" outlineLevel="0" collapsed="false">
      <c r="A108" s="19" t="s">
        <v>364</v>
      </c>
      <c r="B108" s="20" t="s">
        <v>365</v>
      </c>
      <c r="C108" s="19" t="s">
        <v>44</v>
      </c>
      <c r="D108" s="19" t="n">
        <v>62</v>
      </c>
      <c r="E108" s="19" t="s">
        <v>18</v>
      </c>
      <c r="F108" s="19" t="s">
        <v>55</v>
      </c>
      <c r="G108" s="19" t="n">
        <v>8</v>
      </c>
      <c r="H108" s="19" t="n">
        <v>2</v>
      </c>
      <c r="I108" s="19" t="n">
        <v>0</v>
      </c>
      <c r="J108" s="19" t="n">
        <v>0</v>
      </c>
      <c r="K108" s="19" t="s">
        <v>366</v>
      </c>
      <c r="L108" s="21" t="n">
        <v>46289</v>
      </c>
      <c r="M108" s="19" t="s">
        <v>47</v>
      </c>
      <c r="N108" s="22" t="n">
        <f aca="false">MIN(10,H108+I108+2*J108+IF(C108="Female",1,0)+IF(G108&gt;=7,2,IF(G108&gt;=5,1,0))+IF(F108="Tent",1,0))</f>
        <v>4</v>
      </c>
      <c r="O108" s="19" t="str">
        <f aca="false">IF(N108&gt;=6,"High",IF(N108&gt;=3,"Medium","Low"))</f>
        <v>Medium</v>
      </c>
    </row>
    <row r="109" customFormat="false" ht="15" hidden="false" customHeight="false" outlineLevel="0" collapsed="false">
      <c r="A109" s="19" t="s">
        <v>367</v>
      </c>
      <c r="B109" s="20" t="s">
        <v>368</v>
      </c>
      <c r="C109" s="19" t="s">
        <v>44</v>
      </c>
      <c r="D109" s="19" t="n">
        <v>60</v>
      </c>
      <c r="E109" s="19" t="s">
        <v>17</v>
      </c>
      <c r="F109" s="19" t="s">
        <v>55</v>
      </c>
      <c r="G109" s="19" t="n">
        <v>6</v>
      </c>
      <c r="H109" s="19" t="n">
        <v>3</v>
      </c>
      <c r="I109" s="19" t="n">
        <v>1</v>
      </c>
      <c r="J109" s="19" t="n">
        <v>0</v>
      </c>
      <c r="K109" s="19" t="s">
        <v>369</v>
      </c>
      <c r="L109" s="21" t="n">
        <v>46269</v>
      </c>
      <c r="M109" s="19" t="s">
        <v>47</v>
      </c>
      <c r="N109" s="22" t="n">
        <f aca="false">MIN(10,H109+I109+2*J109+IF(C109="Female",1,0)+IF(G109&gt;=7,2,IF(G109&gt;=5,1,0))+IF(F109="Tent",1,0))</f>
        <v>5</v>
      </c>
      <c r="O109" s="19" t="str">
        <f aca="false">IF(N109&gt;=6,"High",IF(N109&gt;=3,"Medium","Low"))</f>
        <v>Medium</v>
      </c>
    </row>
    <row r="110" customFormat="false" ht="15" hidden="false" customHeight="false" outlineLevel="0" collapsed="false">
      <c r="A110" s="19" t="s">
        <v>370</v>
      </c>
      <c r="B110" s="20" t="s">
        <v>371</v>
      </c>
      <c r="C110" s="19" t="s">
        <v>54</v>
      </c>
      <c r="D110" s="19" t="n">
        <v>24</v>
      </c>
      <c r="E110" s="19" t="s">
        <v>15</v>
      </c>
      <c r="F110" s="19" t="s">
        <v>50</v>
      </c>
      <c r="G110" s="19" t="n">
        <v>9</v>
      </c>
      <c r="H110" s="19" t="n">
        <v>0</v>
      </c>
      <c r="I110" s="19" t="n">
        <v>1</v>
      </c>
      <c r="J110" s="19" t="n">
        <v>0</v>
      </c>
      <c r="K110" s="19" t="s">
        <v>372</v>
      </c>
      <c r="L110" s="21" t="n">
        <v>46293</v>
      </c>
      <c r="M110" s="19" t="s">
        <v>80</v>
      </c>
      <c r="N110" s="22" t="n">
        <f aca="false">MIN(10,H110+I110+2*J110+IF(C110="Female",1,0)+IF(G110&gt;=7,2,IF(G110&gt;=5,1,0))+IF(F110="Tent",1,0))</f>
        <v>4</v>
      </c>
      <c r="O110" s="19" t="str">
        <f aca="false">IF(N110&gt;=6,"High",IF(N110&gt;=3,"Medium","Low"))</f>
        <v>Medium</v>
      </c>
    </row>
    <row r="111" customFormat="false" ht="15" hidden="false" customHeight="false" outlineLevel="0" collapsed="false">
      <c r="A111" s="19" t="s">
        <v>373</v>
      </c>
      <c r="B111" s="20" t="s">
        <v>374</v>
      </c>
      <c r="C111" s="19" t="s">
        <v>44</v>
      </c>
      <c r="D111" s="19" t="n">
        <v>72</v>
      </c>
      <c r="E111" s="19" t="s">
        <v>16</v>
      </c>
      <c r="F111" s="19" t="s">
        <v>50</v>
      </c>
      <c r="G111" s="19" t="n">
        <v>5</v>
      </c>
      <c r="H111" s="19" t="n">
        <v>0</v>
      </c>
      <c r="I111" s="19" t="n">
        <v>0</v>
      </c>
      <c r="J111" s="19" t="n">
        <v>0</v>
      </c>
      <c r="K111" s="19" t="s">
        <v>375</v>
      </c>
      <c r="L111" s="21" t="n">
        <v>46272</v>
      </c>
      <c r="M111" s="19" t="s">
        <v>47</v>
      </c>
      <c r="N111" s="22" t="n">
        <f aca="false">MIN(10,H111+I111+2*J111+IF(C111="Female",1,0)+IF(G111&gt;=7,2,IF(G111&gt;=5,1,0))+IF(F111="Tent",1,0))</f>
        <v>1</v>
      </c>
      <c r="O111" s="19" t="str">
        <f aca="false">IF(N111&gt;=6,"High",IF(N111&gt;=3,"Medium","Low"))</f>
        <v>Low</v>
      </c>
    </row>
    <row r="112" customFormat="false" ht="15" hidden="false" customHeight="false" outlineLevel="0" collapsed="false">
      <c r="A112" s="19" t="s">
        <v>376</v>
      </c>
      <c r="B112" s="20" t="s">
        <v>377</v>
      </c>
      <c r="C112" s="19" t="s">
        <v>44</v>
      </c>
      <c r="D112" s="19" t="n">
        <v>54</v>
      </c>
      <c r="E112" s="19" t="s">
        <v>18</v>
      </c>
      <c r="F112" s="19" t="s">
        <v>72</v>
      </c>
      <c r="G112" s="19" t="n">
        <v>8</v>
      </c>
      <c r="H112" s="19" t="n">
        <v>1</v>
      </c>
      <c r="I112" s="19" t="n">
        <v>0</v>
      </c>
      <c r="J112" s="19" t="n">
        <v>1</v>
      </c>
      <c r="K112" s="19" t="s">
        <v>378</v>
      </c>
      <c r="L112" s="21" t="n">
        <v>46275</v>
      </c>
      <c r="M112" s="19" t="s">
        <v>47</v>
      </c>
      <c r="N112" s="22" t="n">
        <f aca="false">MIN(10,H112+I112+2*J112+IF(C112="Female",1,0)+IF(G112&gt;=7,2,IF(G112&gt;=5,1,0))+IF(F112="Tent",1,0))</f>
        <v>5</v>
      </c>
      <c r="O112" s="19" t="str">
        <f aca="false">IF(N112&gt;=6,"High",IF(N112&gt;=3,"Medium","Low"))</f>
        <v>Medium</v>
      </c>
    </row>
    <row r="113" customFormat="false" ht="15" hidden="false" customHeight="false" outlineLevel="0" collapsed="false">
      <c r="A113" s="19" t="s">
        <v>379</v>
      </c>
      <c r="B113" s="20" t="s">
        <v>380</v>
      </c>
      <c r="C113" s="19" t="s">
        <v>44</v>
      </c>
      <c r="D113" s="19" t="n">
        <v>53</v>
      </c>
      <c r="E113" s="19" t="s">
        <v>14</v>
      </c>
      <c r="F113" s="19" t="s">
        <v>50</v>
      </c>
      <c r="G113" s="19" t="n">
        <v>2</v>
      </c>
      <c r="H113" s="19" t="n">
        <v>1</v>
      </c>
      <c r="I113" s="19" t="n">
        <v>1</v>
      </c>
      <c r="J113" s="19" t="n">
        <v>0</v>
      </c>
      <c r="K113" s="19" t="s">
        <v>381</v>
      </c>
      <c r="L113" s="21" t="n">
        <v>46304</v>
      </c>
      <c r="M113" s="19" t="s">
        <v>47</v>
      </c>
      <c r="N113" s="22" t="n">
        <f aca="false">MIN(10,H113+I113+2*J113+IF(C113="Female",1,0)+IF(G113&gt;=7,2,IF(G113&gt;=5,1,0))+IF(F113="Tent",1,0))</f>
        <v>2</v>
      </c>
      <c r="O113" s="19" t="str">
        <f aca="false">IF(N113&gt;=6,"High",IF(N113&gt;=3,"Medium","Low"))</f>
        <v>Low</v>
      </c>
    </row>
    <row r="114" customFormat="false" ht="15" hidden="false" customHeight="false" outlineLevel="0" collapsed="false">
      <c r="A114" s="19" t="s">
        <v>382</v>
      </c>
      <c r="B114" s="20" t="s">
        <v>383</v>
      </c>
      <c r="C114" s="19" t="s">
        <v>44</v>
      </c>
      <c r="D114" s="19" t="n">
        <v>52</v>
      </c>
      <c r="E114" s="19" t="s">
        <v>16</v>
      </c>
      <c r="F114" s="19" t="s">
        <v>45</v>
      </c>
      <c r="G114" s="19" t="n">
        <v>1</v>
      </c>
      <c r="H114" s="19" t="n">
        <v>0</v>
      </c>
      <c r="I114" s="19" t="n">
        <v>0</v>
      </c>
      <c r="J114" s="19" t="n">
        <v>0</v>
      </c>
      <c r="K114" s="19" t="s">
        <v>384</v>
      </c>
      <c r="L114" s="21" t="n">
        <v>46271</v>
      </c>
      <c r="M114" s="19" t="s">
        <v>47</v>
      </c>
      <c r="N114" s="22" t="n">
        <f aca="false">MIN(10,H114+I114+2*J114+IF(C114="Female",1,0)+IF(G114&gt;=7,2,IF(G114&gt;=5,1,0))+IF(F114="Tent",1,0))</f>
        <v>1</v>
      </c>
      <c r="O114" s="19" t="str">
        <f aca="false">IF(N114&gt;=6,"High",IF(N114&gt;=3,"Medium","Low"))</f>
        <v>Low</v>
      </c>
    </row>
    <row r="115" customFormat="false" ht="15" hidden="false" customHeight="false" outlineLevel="0" collapsed="false">
      <c r="A115" s="19" t="s">
        <v>385</v>
      </c>
      <c r="B115" s="20" t="s">
        <v>386</v>
      </c>
      <c r="C115" s="19" t="s">
        <v>44</v>
      </c>
      <c r="D115" s="19" t="n">
        <v>41</v>
      </c>
      <c r="E115" s="19" t="s">
        <v>14</v>
      </c>
      <c r="F115" s="19" t="s">
        <v>45</v>
      </c>
      <c r="G115" s="19" t="n">
        <v>1</v>
      </c>
      <c r="H115" s="19" t="n">
        <v>0</v>
      </c>
      <c r="I115" s="19" t="n">
        <v>1</v>
      </c>
      <c r="J115" s="19" t="n">
        <v>0</v>
      </c>
      <c r="K115" s="19" t="s">
        <v>387</v>
      </c>
      <c r="L115" s="21" t="n">
        <v>46267</v>
      </c>
      <c r="M115" s="19" t="s">
        <v>80</v>
      </c>
      <c r="N115" s="22" t="n">
        <f aca="false">MIN(10,H115+I115+2*J115+IF(C115="Female",1,0)+IF(G115&gt;=7,2,IF(G115&gt;=5,1,0))+IF(F115="Tent",1,0))</f>
        <v>2</v>
      </c>
      <c r="O115" s="19" t="str">
        <f aca="false">IF(N115&gt;=6,"High",IF(N115&gt;=3,"Medium","Low"))</f>
        <v>Low</v>
      </c>
    </row>
    <row r="116" customFormat="false" ht="15" hidden="false" customHeight="false" outlineLevel="0" collapsed="false">
      <c r="A116" s="19" t="s">
        <v>388</v>
      </c>
      <c r="B116" s="20" t="s">
        <v>389</v>
      </c>
      <c r="C116" s="19" t="s">
        <v>44</v>
      </c>
      <c r="D116" s="19" t="n">
        <v>70</v>
      </c>
      <c r="E116" s="19" t="s">
        <v>15</v>
      </c>
      <c r="F116" s="19" t="s">
        <v>45</v>
      </c>
      <c r="G116" s="19" t="n">
        <v>3</v>
      </c>
      <c r="H116" s="19" t="n">
        <v>0</v>
      </c>
      <c r="I116" s="19" t="n">
        <v>0</v>
      </c>
      <c r="J116" s="19" t="n">
        <v>0</v>
      </c>
      <c r="K116" s="19" t="s">
        <v>390</v>
      </c>
      <c r="L116" s="21" t="n">
        <v>46277</v>
      </c>
      <c r="M116" s="19" t="s">
        <v>80</v>
      </c>
      <c r="N116" s="22" t="n">
        <f aca="false">MIN(10,H116+I116+2*J116+IF(C116="Female",1,0)+IF(G116&gt;=7,2,IF(G116&gt;=5,1,0))+IF(F116="Tent",1,0))</f>
        <v>1</v>
      </c>
      <c r="O116" s="19" t="str">
        <f aca="false">IF(N116&gt;=6,"High",IF(N116&gt;=3,"Medium","Low"))</f>
        <v>Low</v>
      </c>
    </row>
    <row r="117" customFormat="false" ht="15" hidden="false" customHeight="false" outlineLevel="0" collapsed="false">
      <c r="A117" s="19" t="s">
        <v>391</v>
      </c>
      <c r="B117" s="20" t="s">
        <v>392</v>
      </c>
      <c r="C117" s="19" t="s">
        <v>44</v>
      </c>
      <c r="D117" s="19" t="n">
        <v>49</v>
      </c>
      <c r="E117" s="19" t="s">
        <v>16</v>
      </c>
      <c r="F117" s="19" t="s">
        <v>45</v>
      </c>
      <c r="G117" s="19" t="n">
        <v>2</v>
      </c>
      <c r="H117" s="19" t="n">
        <v>0</v>
      </c>
      <c r="I117" s="19" t="n">
        <v>0</v>
      </c>
      <c r="J117" s="19" t="n">
        <v>1</v>
      </c>
      <c r="K117" s="19" t="s">
        <v>393</v>
      </c>
      <c r="L117" s="21" t="n">
        <v>46300</v>
      </c>
      <c r="M117" s="19" t="s">
        <v>80</v>
      </c>
      <c r="N117" s="22" t="n">
        <f aca="false">MIN(10,H117+I117+2*J117+IF(C117="Female",1,0)+IF(G117&gt;=7,2,IF(G117&gt;=5,1,0))+IF(F117="Tent",1,0))</f>
        <v>3</v>
      </c>
      <c r="O117" s="19" t="str">
        <f aca="false">IF(N117&gt;=6,"High",IF(N117&gt;=3,"Medium","Low"))</f>
        <v>Medium</v>
      </c>
    </row>
    <row r="118" customFormat="false" ht="15" hidden="false" customHeight="false" outlineLevel="0" collapsed="false">
      <c r="A118" s="19" t="s">
        <v>394</v>
      </c>
      <c r="B118" s="20" t="s">
        <v>256</v>
      </c>
      <c r="C118" s="19" t="s">
        <v>44</v>
      </c>
      <c r="D118" s="19" t="n">
        <v>50</v>
      </c>
      <c r="E118" s="19" t="s">
        <v>17</v>
      </c>
      <c r="F118" s="19" t="s">
        <v>45</v>
      </c>
      <c r="G118" s="19" t="n">
        <v>4</v>
      </c>
      <c r="H118" s="19" t="n">
        <v>2</v>
      </c>
      <c r="I118" s="19" t="n">
        <v>0</v>
      </c>
      <c r="J118" s="19" t="n">
        <v>0</v>
      </c>
      <c r="K118" s="19" t="s">
        <v>395</v>
      </c>
      <c r="L118" s="21" t="n">
        <v>46277</v>
      </c>
      <c r="M118" s="19" t="s">
        <v>80</v>
      </c>
      <c r="N118" s="22" t="n">
        <f aca="false">MIN(10,H118+I118+2*J118+IF(C118="Female",1,0)+IF(G118&gt;=7,2,IF(G118&gt;=5,1,0))+IF(F118="Tent",1,0))</f>
        <v>3</v>
      </c>
      <c r="O118" s="19" t="str">
        <f aca="false">IF(N118&gt;=6,"High",IF(N118&gt;=3,"Medium","Low"))</f>
        <v>Medium</v>
      </c>
    </row>
    <row r="119" customFormat="false" ht="15" hidden="false" customHeight="false" outlineLevel="0" collapsed="false">
      <c r="A119" s="19" t="s">
        <v>396</v>
      </c>
      <c r="B119" s="20" t="s">
        <v>397</v>
      </c>
      <c r="C119" s="19" t="s">
        <v>54</v>
      </c>
      <c r="D119" s="19" t="n">
        <v>61</v>
      </c>
      <c r="E119" s="19" t="s">
        <v>16</v>
      </c>
      <c r="F119" s="19" t="s">
        <v>45</v>
      </c>
      <c r="G119" s="19" t="n">
        <v>2</v>
      </c>
      <c r="H119" s="19" t="n">
        <v>1</v>
      </c>
      <c r="I119" s="19" t="n">
        <v>1</v>
      </c>
      <c r="J119" s="19" t="n">
        <v>0</v>
      </c>
      <c r="K119" s="19" t="s">
        <v>398</v>
      </c>
      <c r="L119" s="21" t="n">
        <v>46286</v>
      </c>
      <c r="M119" s="19" t="s">
        <v>80</v>
      </c>
      <c r="N119" s="22" t="n">
        <f aca="false">MIN(10,H119+I119+2*J119+IF(C119="Female",1,0)+IF(G119&gt;=7,2,IF(G119&gt;=5,1,0))+IF(F119="Tent",1,0))</f>
        <v>4</v>
      </c>
      <c r="O119" s="19" t="str">
        <f aca="false">IF(N119&gt;=6,"High",IF(N119&gt;=3,"Medium","Low"))</f>
        <v>Medium</v>
      </c>
    </row>
    <row r="120" customFormat="false" ht="15" hidden="false" customHeight="false" outlineLevel="0" collapsed="false">
      <c r="A120" s="19" t="s">
        <v>399</v>
      </c>
      <c r="B120" s="20" t="s">
        <v>400</v>
      </c>
      <c r="C120" s="19" t="s">
        <v>44</v>
      </c>
      <c r="D120" s="19" t="n">
        <v>23</v>
      </c>
      <c r="E120" s="19" t="s">
        <v>17</v>
      </c>
      <c r="F120" s="19" t="s">
        <v>45</v>
      </c>
      <c r="G120" s="19" t="n">
        <v>6</v>
      </c>
      <c r="H120" s="19" t="n">
        <v>1</v>
      </c>
      <c r="I120" s="19" t="n">
        <v>1</v>
      </c>
      <c r="J120" s="19" t="n">
        <v>0</v>
      </c>
      <c r="K120" s="19" t="s">
        <v>401</v>
      </c>
      <c r="L120" s="21" t="n">
        <v>46269</v>
      </c>
      <c r="M120" s="19" t="s">
        <v>80</v>
      </c>
      <c r="N120" s="22" t="n">
        <f aca="false">MIN(10,H120+I120+2*J120+IF(C120="Female",1,0)+IF(G120&gt;=7,2,IF(G120&gt;=5,1,0))+IF(F120="Tent",1,0))</f>
        <v>4</v>
      </c>
      <c r="O120" s="19" t="str">
        <f aca="false">IF(N120&gt;=6,"High",IF(N120&gt;=3,"Medium","Low"))</f>
        <v>Medium</v>
      </c>
    </row>
    <row r="121" customFormat="false" ht="15" hidden="false" customHeight="false" outlineLevel="0" collapsed="false">
      <c r="A121" s="19" t="s">
        <v>402</v>
      </c>
      <c r="B121" s="20" t="s">
        <v>403</v>
      </c>
      <c r="C121" s="19" t="s">
        <v>44</v>
      </c>
      <c r="D121" s="19" t="n">
        <v>42</v>
      </c>
      <c r="E121" s="19" t="s">
        <v>17</v>
      </c>
      <c r="F121" s="19" t="s">
        <v>55</v>
      </c>
      <c r="G121" s="19" t="n">
        <v>9</v>
      </c>
      <c r="H121" s="19" t="n">
        <v>1</v>
      </c>
      <c r="I121" s="19" t="n">
        <v>0</v>
      </c>
      <c r="J121" s="19" t="n">
        <v>0</v>
      </c>
      <c r="K121" s="19" t="s">
        <v>404</v>
      </c>
      <c r="L121" s="21" t="n">
        <v>46289</v>
      </c>
      <c r="M121" s="19" t="s">
        <v>47</v>
      </c>
      <c r="N121" s="22" t="n">
        <f aca="false">MIN(10,H121+I121+2*J121+IF(C121="Female",1,0)+IF(G121&gt;=7,2,IF(G121&gt;=5,1,0))+IF(F121="Tent",1,0))</f>
        <v>3</v>
      </c>
      <c r="O121" s="19" t="str">
        <f aca="false">IF(N121&gt;=6,"High",IF(N121&gt;=3,"Medium","Low"))</f>
        <v>Medium</v>
      </c>
    </row>
    <row r="122" customFormat="false" ht="15" hidden="false" customHeight="false" outlineLevel="0" collapsed="false">
      <c r="A122" s="19" t="s">
        <v>405</v>
      </c>
      <c r="B122" s="20" t="s">
        <v>406</v>
      </c>
      <c r="C122" s="19" t="s">
        <v>54</v>
      </c>
      <c r="D122" s="19" t="n">
        <v>34</v>
      </c>
      <c r="E122" s="19" t="s">
        <v>14</v>
      </c>
      <c r="F122" s="19" t="s">
        <v>45</v>
      </c>
      <c r="G122" s="19" t="n">
        <v>5</v>
      </c>
      <c r="H122" s="19" t="n">
        <v>2</v>
      </c>
      <c r="I122" s="19" t="n">
        <v>0</v>
      </c>
      <c r="J122" s="19" t="n">
        <v>0</v>
      </c>
      <c r="K122" s="19" t="s">
        <v>407</v>
      </c>
      <c r="L122" s="21" t="n">
        <v>46283</v>
      </c>
      <c r="M122" s="19" t="s">
        <v>47</v>
      </c>
      <c r="N122" s="22" t="n">
        <f aca="false">MIN(10,H122+I122+2*J122+IF(C122="Female",1,0)+IF(G122&gt;=7,2,IF(G122&gt;=5,1,0))+IF(F122="Tent",1,0))</f>
        <v>5</v>
      </c>
      <c r="O122" s="19" t="str">
        <f aca="false">IF(N122&gt;=6,"High",IF(N122&gt;=3,"Medium","Low"))</f>
        <v>Medium</v>
      </c>
    </row>
    <row r="123" customFormat="false" ht="15" hidden="false" customHeight="false" outlineLevel="0" collapsed="false">
      <c r="A123" s="19" t="s">
        <v>408</v>
      </c>
      <c r="B123" s="20" t="s">
        <v>100</v>
      </c>
      <c r="C123" s="19" t="s">
        <v>44</v>
      </c>
      <c r="D123" s="19" t="n">
        <v>26</v>
      </c>
      <c r="E123" s="19" t="s">
        <v>15</v>
      </c>
      <c r="F123" s="19" t="s">
        <v>55</v>
      </c>
      <c r="G123" s="19" t="n">
        <v>4</v>
      </c>
      <c r="H123" s="19" t="n">
        <v>0</v>
      </c>
      <c r="I123" s="19" t="n">
        <v>0</v>
      </c>
      <c r="J123" s="19" t="n">
        <v>2</v>
      </c>
      <c r="K123" s="19" t="s">
        <v>409</v>
      </c>
      <c r="L123" s="21" t="n">
        <v>46278</v>
      </c>
      <c r="M123" s="19" t="s">
        <v>47</v>
      </c>
      <c r="N123" s="22" t="n">
        <f aca="false">MIN(10,H123+I123+2*J123+IF(C123="Female",1,0)+IF(G123&gt;=7,2,IF(G123&gt;=5,1,0))+IF(F123="Tent",1,0))</f>
        <v>4</v>
      </c>
      <c r="O123" s="19" t="str">
        <f aca="false">IF(N123&gt;=6,"High",IF(N123&gt;=3,"Medium","Low"))</f>
        <v>Medium</v>
      </c>
    </row>
    <row r="124" customFormat="false" ht="15" hidden="false" customHeight="false" outlineLevel="0" collapsed="false">
      <c r="A124" s="19" t="s">
        <v>410</v>
      </c>
      <c r="B124" s="20" t="s">
        <v>288</v>
      </c>
      <c r="C124" s="19" t="s">
        <v>44</v>
      </c>
      <c r="D124" s="19" t="n">
        <v>76</v>
      </c>
      <c r="E124" s="19" t="s">
        <v>16</v>
      </c>
      <c r="F124" s="19" t="s">
        <v>55</v>
      </c>
      <c r="G124" s="19" t="n">
        <v>9</v>
      </c>
      <c r="H124" s="19" t="n">
        <v>3</v>
      </c>
      <c r="I124" s="19" t="n">
        <v>2</v>
      </c>
      <c r="J124" s="19" t="n">
        <v>0</v>
      </c>
      <c r="K124" s="19" t="s">
        <v>411</v>
      </c>
      <c r="L124" s="21" t="n">
        <v>46284</v>
      </c>
      <c r="M124" s="19" t="s">
        <v>80</v>
      </c>
      <c r="N124" s="22" t="n">
        <f aca="false">MIN(10,H124+I124+2*J124+IF(C124="Female",1,0)+IF(G124&gt;=7,2,IF(G124&gt;=5,1,0))+IF(F124="Tent",1,0))</f>
        <v>7</v>
      </c>
      <c r="O124" s="19" t="str">
        <f aca="false">IF(N124&gt;=6,"High",IF(N124&gt;=3,"Medium","Low"))</f>
        <v>High</v>
      </c>
    </row>
    <row r="125" customFormat="false" ht="15" hidden="false" customHeight="false" outlineLevel="0" collapsed="false">
      <c r="A125" s="19" t="s">
        <v>412</v>
      </c>
      <c r="B125" s="20" t="s">
        <v>61</v>
      </c>
      <c r="C125" s="19" t="s">
        <v>44</v>
      </c>
      <c r="D125" s="19" t="n">
        <v>55</v>
      </c>
      <c r="E125" s="19" t="s">
        <v>16</v>
      </c>
      <c r="F125" s="19" t="s">
        <v>72</v>
      </c>
      <c r="G125" s="19" t="n">
        <v>6</v>
      </c>
      <c r="H125" s="19" t="n">
        <v>0</v>
      </c>
      <c r="I125" s="19" t="n">
        <v>0</v>
      </c>
      <c r="J125" s="19" t="n">
        <v>0</v>
      </c>
      <c r="K125" s="19" t="s">
        <v>413</v>
      </c>
      <c r="L125" s="21" t="n">
        <v>46301</v>
      </c>
      <c r="M125" s="19" t="s">
        <v>66</v>
      </c>
      <c r="N125" s="22" t="n">
        <f aca="false">MIN(10,H125+I125+2*J125+IF(C125="Female",1,0)+IF(G125&gt;=7,2,IF(G125&gt;=5,1,0))+IF(F125="Tent",1,0))</f>
        <v>1</v>
      </c>
      <c r="O125" s="19" t="str">
        <f aca="false">IF(N125&gt;=6,"High",IF(N125&gt;=3,"Medium","Low"))</f>
        <v>Low</v>
      </c>
    </row>
    <row r="126" customFormat="false" ht="15" hidden="false" customHeight="false" outlineLevel="0" collapsed="false">
      <c r="A126" s="19" t="s">
        <v>414</v>
      </c>
      <c r="B126" s="20" t="s">
        <v>415</v>
      </c>
      <c r="C126" s="19" t="s">
        <v>54</v>
      </c>
      <c r="D126" s="19" t="n">
        <v>23</v>
      </c>
      <c r="E126" s="19" t="s">
        <v>15</v>
      </c>
      <c r="F126" s="19" t="s">
        <v>55</v>
      </c>
      <c r="G126" s="19" t="n">
        <v>2</v>
      </c>
      <c r="H126" s="19" t="n">
        <v>0</v>
      </c>
      <c r="I126" s="19" t="n">
        <v>1</v>
      </c>
      <c r="J126" s="19" t="n">
        <v>0</v>
      </c>
      <c r="K126" s="19" t="s">
        <v>416</v>
      </c>
      <c r="L126" s="21" t="n">
        <v>46302</v>
      </c>
      <c r="M126" s="19" t="s">
        <v>80</v>
      </c>
      <c r="N126" s="22" t="n">
        <f aca="false">MIN(10,H126+I126+2*J126+IF(C126="Female",1,0)+IF(G126&gt;=7,2,IF(G126&gt;=5,1,0))+IF(F126="Tent",1,0))</f>
        <v>2</v>
      </c>
      <c r="O126" s="19" t="str">
        <f aca="false">IF(N126&gt;=6,"High",IF(N126&gt;=3,"Medium","Low"))</f>
        <v>Low</v>
      </c>
    </row>
    <row r="127" customFormat="false" ht="15" hidden="false" customHeight="false" outlineLevel="0" collapsed="false">
      <c r="A127" s="19" t="s">
        <v>417</v>
      </c>
      <c r="B127" s="20" t="s">
        <v>418</v>
      </c>
      <c r="C127" s="19" t="s">
        <v>44</v>
      </c>
      <c r="D127" s="19" t="n">
        <v>72</v>
      </c>
      <c r="E127" s="19" t="s">
        <v>14</v>
      </c>
      <c r="F127" s="19" t="s">
        <v>72</v>
      </c>
      <c r="G127" s="19" t="n">
        <v>3</v>
      </c>
      <c r="H127" s="19" t="n">
        <v>2</v>
      </c>
      <c r="I127" s="19" t="n">
        <v>0</v>
      </c>
      <c r="J127" s="19" t="n">
        <v>0</v>
      </c>
      <c r="K127" s="19" t="s">
        <v>419</v>
      </c>
      <c r="L127" s="21" t="n">
        <v>46269</v>
      </c>
      <c r="M127" s="19" t="s">
        <v>47</v>
      </c>
      <c r="N127" s="22" t="n">
        <f aca="false">MIN(10,H127+I127+2*J127+IF(C127="Female",1,0)+IF(G127&gt;=7,2,IF(G127&gt;=5,1,0))+IF(F127="Tent",1,0))</f>
        <v>2</v>
      </c>
      <c r="O127" s="19" t="str">
        <f aca="false">IF(N127&gt;=6,"High",IF(N127&gt;=3,"Medium","Low"))</f>
        <v>Low</v>
      </c>
    </row>
    <row r="128" customFormat="false" ht="15" hidden="false" customHeight="false" outlineLevel="0" collapsed="false">
      <c r="A128" s="19" t="s">
        <v>420</v>
      </c>
      <c r="B128" s="20" t="s">
        <v>421</v>
      </c>
      <c r="C128" s="19" t="s">
        <v>54</v>
      </c>
      <c r="D128" s="19" t="n">
        <v>36</v>
      </c>
      <c r="E128" s="19" t="s">
        <v>15</v>
      </c>
      <c r="F128" s="19" t="s">
        <v>50</v>
      </c>
      <c r="G128" s="19" t="n">
        <v>5</v>
      </c>
      <c r="H128" s="19" t="n">
        <v>3</v>
      </c>
      <c r="I128" s="19" t="n">
        <v>1</v>
      </c>
      <c r="J128" s="19" t="n">
        <v>1</v>
      </c>
      <c r="K128" s="19" t="s">
        <v>422</v>
      </c>
      <c r="L128" s="21" t="n">
        <v>46301</v>
      </c>
      <c r="M128" s="19" t="s">
        <v>80</v>
      </c>
      <c r="N128" s="22" t="n">
        <f aca="false">MIN(10,H128+I128+2*J128+IF(C128="Female",1,0)+IF(G128&gt;=7,2,IF(G128&gt;=5,1,0))+IF(F128="Tent",1,0))</f>
        <v>8</v>
      </c>
      <c r="O128" s="19" t="str">
        <f aca="false">IF(N128&gt;=6,"High",IF(N128&gt;=3,"Medium","Low"))</f>
        <v>High</v>
      </c>
    </row>
    <row r="129" customFormat="false" ht="15" hidden="false" customHeight="false" outlineLevel="0" collapsed="false">
      <c r="A129" s="19" t="s">
        <v>423</v>
      </c>
      <c r="B129" s="20" t="s">
        <v>424</v>
      </c>
      <c r="C129" s="19" t="s">
        <v>54</v>
      </c>
      <c r="D129" s="19" t="n">
        <v>21</v>
      </c>
      <c r="E129" s="19" t="s">
        <v>14</v>
      </c>
      <c r="F129" s="19" t="s">
        <v>45</v>
      </c>
      <c r="G129" s="19" t="n">
        <v>7</v>
      </c>
      <c r="H129" s="19" t="n">
        <v>1</v>
      </c>
      <c r="I129" s="19" t="n">
        <v>0</v>
      </c>
      <c r="J129" s="19" t="n">
        <v>0</v>
      </c>
      <c r="K129" s="19" t="s">
        <v>425</v>
      </c>
      <c r="L129" s="21" t="n">
        <v>46302</v>
      </c>
      <c r="M129" s="19" t="s">
        <v>66</v>
      </c>
      <c r="N129" s="22" t="n">
        <f aca="false">MIN(10,H129+I129+2*J129+IF(C129="Female",1,0)+IF(G129&gt;=7,2,IF(G129&gt;=5,1,0))+IF(F129="Tent",1,0))</f>
        <v>5</v>
      </c>
      <c r="O129" s="19" t="str">
        <f aca="false">IF(N129&gt;=6,"High",IF(N129&gt;=3,"Medium","Low"))</f>
        <v>Medium</v>
      </c>
    </row>
    <row r="130" customFormat="false" ht="15" hidden="false" customHeight="false" outlineLevel="0" collapsed="false">
      <c r="A130" s="19" t="s">
        <v>426</v>
      </c>
      <c r="B130" s="20" t="s">
        <v>427</v>
      </c>
      <c r="C130" s="19" t="s">
        <v>44</v>
      </c>
      <c r="D130" s="19" t="n">
        <v>49</v>
      </c>
      <c r="E130" s="19" t="s">
        <v>15</v>
      </c>
      <c r="F130" s="19" t="s">
        <v>50</v>
      </c>
      <c r="G130" s="19" t="n">
        <v>8</v>
      </c>
      <c r="H130" s="19" t="n">
        <v>1</v>
      </c>
      <c r="I130" s="19" t="n">
        <v>0</v>
      </c>
      <c r="J130" s="19" t="n">
        <v>0</v>
      </c>
      <c r="K130" s="19" t="s">
        <v>428</v>
      </c>
      <c r="L130" s="21" t="n">
        <v>46285</v>
      </c>
      <c r="M130" s="19" t="s">
        <v>80</v>
      </c>
      <c r="N130" s="22" t="n">
        <f aca="false">MIN(10,H130+I130+2*J130+IF(C130="Female",1,0)+IF(G130&gt;=7,2,IF(G130&gt;=5,1,0))+IF(F130="Tent",1,0))</f>
        <v>3</v>
      </c>
      <c r="O130" s="19" t="str">
        <f aca="false">IF(N130&gt;=6,"High",IF(N130&gt;=3,"Medium","Low"))</f>
        <v>Medium</v>
      </c>
    </row>
    <row r="131" customFormat="false" ht="15" hidden="false" customHeight="false" outlineLevel="0" collapsed="false">
      <c r="A131" s="19" t="s">
        <v>429</v>
      </c>
      <c r="B131" s="20" t="s">
        <v>430</v>
      </c>
      <c r="C131" s="19" t="s">
        <v>44</v>
      </c>
      <c r="D131" s="19" t="n">
        <v>65</v>
      </c>
      <c r="E131" s="19" t="s">
        <v>16</v>
      </c>
      <c r="F131" s="19" t="s">
        <v>55</v>
      </c>
      <c r="G131" s="19" t="n">
        <v>3</v>
      </c>
      <c r="H131" s="19" t="n">
        <v>1</v>
      </c>
      <c r="I131" s="19" t="n">
        <v>0</v>
      </c>
      <c r="J131" s="19" t="n">
        <v>0</v>
      </c>
      <c r="K131" s="19" t="s">
        <v>431</v>
      </c>
      <c r="L131" s="21" t="n">
        <v>46286</v>
      </c>
      <c r="M131" s="19" t="s">
        <v>47</v>
      </c>
      <c r="N131" s="22" t="n">
        <f aca="false">MIN(10,H131+I131+2*J131+IF(C131="Female",1,0)+IF(G131&gt;=7,2,IF(G131&gt;=5,1,0))+IF(F131="Tent",1,0))</f>
        <v>1</v>
      </c>
      <c r="O131" s="19" t="str">
        <f aca="false">IF(N131&gt;=6,"High",IF(N131&gt;=3,"Medium","Low"))</f>
        <v>Low</v>
      </c>
    </row>
    <row r="132" customFormat="false" ht="15" hidden="false" customHeight="false" outlineLevel="0" collapsed="false">
      <c r="A132" s="19" t="s">
        <v>432</v>
      </c>
      <c r="B132" s="20" t="s">
        <v>100</v>
      </c>
      <c r="C132" s="19" t="s">
        <v>44</v>
      </c>
      <c r="D132" s="19" t="n">
        <v>74</v>
      </c>
      <c r="E132" s="19" t="s">
        <v>18</v>
      </c>
      <c r="F132" s="19" t="s">
        <v>45</v>
      </c>
      <c r="G132" s="19" t="n">
        <v>5</v>
      </c>
      <c r="H132" s="19" t="n">
        <v>1</v>
      </c>
      <c r="I132" s="19" t="n">
        <v>0</v>
      </c>
      <c r="J132" s="19" t="n">
        <v>0</v>
      </c>
      <c r="K132" s="19" t="s">
        <v>433</v>
      </c>
      <c r="L132" s="21" t="n">
        <v>46290</v>
      </c>
      <c r="M132" s="19" t="s">
        <v>66</v>
      </c>
      <c r="N132" s="22" t="n">
        <f aca="false">MIN(10,H132+I132+2*J132+IF(C132="Female",1,0)+IF(G132&gt;=7,2,IF(G132&gt;=5,1,0))+IF(F132="Tent",1,0))</f>
        <v>3</v>
      </c>
      <c r="O132" s="19" t="str">
        <f aca="false">IF(N132&gt;=6,"High",IF(N132&gt;=3,"Medium","Low"))</f>
        <v>Medium</v>
      </c>
    </row>
    <row r="133" customFormat="false" ht="15" hidden="false" customHeight="false" outlineLevel="0" collapsed="false">
      <c r="A133" s="19" t="s">
        <v>434</v>
      </c>
      <c r="B133" s="20" t="s">
        <v>321</v>
      </c>
      <c r="C133" s="19" t="s">
        <v>44</v>
      </c>
      <c r="D133" s="19" t="n">
        <v>20</v>
      </c>
      <c r="E133" s="19" t="s">
        <v>14</v>
      </c>
      <c r="F133" s="19" t="s">
        <v>55</v>
      </c>
      <c r="G133" s="19" t="n">
        <v>8</v>
      </c>
      <c r="H133" s="19" t="n">
        <v>0</v>
      </c>
      <c r="I133" s="19" t="n">
        <v>0</v>
      </c>
      <c r="J133" s="19" t="n">
        <v>2</v>
      </c>
      <c r="K133" s="19" t="s">
        <v>435</v>
      </c>
      <c r="L133" s="21" t="n">
        <v>46297</v>
      </c>
      <c r="M133" s="19" t="s">
        <v>47</v>
      </c>
      <c r="N133" s="22" t="n">
        <f aca="false">MIN(10,H133+I133+2*J133+IF(C133="Female",1,0)+IF(G133&gt;=7,2,IF(G133&gt;=5,1,0))+IF(F133="Tent",1,0))</f>
        <v>6</v>
      </c>
      <c r="O133" s="19" t="str">
        <f aca="false">IF(N133&gt;=6,"High",IF(N133&gt;=3,"Medium","Low"))</f>
        <v>High</v>
      </c>
    </row>
    <row r="134" customFormat="false" ht="15" hidden="false" customHeight="false" outlineLevel="0" collapsed="false">
      <c r="A134" s="19" t="s">
        <v>436</v>
      </c>
      <c r="B134" s="20" t="s">
        <v>437</v>
      </c>
      <c r="C134" s="19" t="s">
        <v>44</v>
      </c>
      <c r="D134" s="19" t="n">
        <v>73</v>
      </c>
      <c r="E134" s="19" t="s">
        <v>14</v>
      </c>
      <c r="F134" s="19" t="s">
        <v>45</v>
      </c>
      <c r="G134" s="19" t="n">
        <v>5</v>
      </c>
      <c r="H134" s="19" t="n">
        <v>0</v>
      </c>
      <c r="I134" s="19" t="n">
        <v>0</v>
      </c>
      <c r="J134" s="19" t="n">
        <v>1</v>
      </c>
      <c r="K134" s="19" t="s">
        <v>438</v>
      </c>
      <c r="L134" s="21" t="n">
        <v>46266</v>
      </c>
      <c r="M134" s="19" t="s">
        <v>80</v>
      </c>
      <c r="N134" s="22" t="n">
        <f aca="false">MIN(10,H134+I134+2*J134+IF(C134="Female",1,0)+IF(G134&gt;=7,2,IF(G134&gt;=5,1,0))+IF(F134="Tent",1,0))</f>
        <v>4</v>
      </c>
      <c r="O134" s="19" t="str">
        <f aca="false">IF(N134&gt;=6,"High",IF(N134&gt;=3,"Medium","Low"))</f>
        <v>Medium</v>
      </c>
    </row>
    <row r="135" customFormat="false" ht="15" hidden="false" customHeight="false" outlineLevel="0" collapsed="false">
      <c r="A135" s="19" t="s">
        <v>439</v>
      </c>
      <c r="B135" s="20" t="s">
        <v>440</v>
      </c>
      <c r="C135" s="19" t="s">
        <v>44</v>
      </c>
      <c r="D135" s="19" t="n">
        <v>47</v>
      </c>
      <c r="E135" s="19" t="s">
        <v>18</v>
      </c>
      <c r="F135" s="19" t="s">
        <v>45</v>
      </c>
      <c r="G135" s="19" t="n">
        <v>2</v>
      </c>
      <c r="H135" s="19" t="n">
        <v>0</v>
      </c>
      <c r="I135" s="19" t="n">
        <v>0</v>
      </c>
      <c r="J135" s="19" t="n">
        <v>0</v>
      </c>
      <c r="K135" s="19" t="s">
        <v>441</v>
      </c>
      <c r="L135" s="21" t="n">
        <v>46298</v>
      </c>
      <c r="M135" s="19" t="s">
        <v>66</v>
      </c>
      <c r="N135" s="22" t="n">
        <f aca="false">MIN(10,H135+I135+2*J135+IF(C135="Female",1,0)+IF(G135&gt;=7,2,IF(G135&gt;=5,1,0))+IF(F135="Tent",1,0))</f>
        <v>1</v>
      </c>
      <c r="O135" s="19" t="str">
        <f aca="false">IF(N135&gt;=6,"High",IF(N135&gt;=3,"Medium","Low"))</f>
        <v>Low</v>
      </c>
    </row>
    <row r="136" customFormat="false" ht="15" hidden="false" customHeight="false" outlineLevel="0" collapsed="false">
      <c r="A136" s="19" t="s">
        <v>442</v>
      </c>
      <c r="B136" s="20" t="s">
        <v>118</v>
      </c>
      <c r="C136" s="19" t="s">
        <v>44</v>
      </c>
      <c r="D136" s="19" t="n">
        <v>57</v>
      </c>
      <c r="E136" s="19" t="s">
        <v>18</v>
      </c>
      <c r="F136" s="19" t="s">
        <v>45</v>
      </c>
      <c r="G136" s="19" t="n">
        <v>11</v>
      </c>
      <c r="H136" s="19" t="n">
        <v>0</v>
      </c>
      <c r="I136" s="19" t="n">
        <v>1</v>
      </c>
      <c r="J136" s="19" t="n">
        <v>0</v>
      </c>
      <c r="K136" s="19" t="s">
        <v>443</v>
      </c>
      <c r="L136" s="21" t="n">
        <v>46278</v>
      </c>
      <c r="M136" s="19" t="s">
        <v>47</v>
      </c>
      <c r="N136" s="22" t="n">
        <f aca="false">MIN(10,H136+I136+2*J136+IF(C136="Female",1,0)+IF(G136&gt;=7,2,IF(G136&gt;=5,1,0))+IF(F136="Tent",1,0))</f>
        <v>4</v>
      </c>
      <c r="O136" s="19" t="str">
        <f aca="false">IF(N136&gt;=6,"High",IF(N136&gt;=3,"Medium","Low"))</f>
        <v>Medium</v>
      </c>
    </row>
    <row r="137" customFormat="false" ht="15" hidden="false" customHeight="false" outlineLevel="0" collapsed="false">
      <c r="A137" s="19" t="s">
        <v>444</v>
      </c>
      <c r="B137" s="20" t="s">
        <v>445</v>
      </c>
      <c r="C137" s="19" t="s">
        <v>54</v>
      </c>
      <c r="D137" s="19" t="n">
        <v>29</v>
      </c>
      <c r="E137" s="19" t="s">
        <v>17</v>
      </c>
      <c r="F137" s="19" t="s">
        <v>55</v>
      </c>
      <c r="G137" s="19" t="n">
        <v>9</v>
      </c>
      <c r="H137" s="19" t="n">
        <v>1</v>
      </c>
      <c r="I137" s="19" t="n">
        <v>0</v>
      </c>
      <c r="J137" s="19" t="n">
        <v>1</v>
      </c>
      <c r="K137" s="19" t="s">
        <v>446</v>
      </c>
      <c r="L137" s="21" t="n">
        <v>46286</v>
      </c>
      <c r="M137" s="19" t="s">
        <v>80</v>
      </c>
      <c r="N137" s="22" t="n">
        <f aca="false">MIN(10,H137+I137+2*J137+IF(C137="Female",1,0)+IF(G137&gt;=7,2,IF(G137&gt;=5,1,0))+IF(F137="Tent",1,0))</f>
        <v>6</v>
      </c>
      <c r="O137" s="19" t="str">
        <f aca="false">IF(N137&gt;=6,"High",IF(N137&gt;=3,"Medium","Low"))</f>
        <v>High</v>
      </c>
    </row>
    <row r="138" customFormat="false" ht="15" hidden="false" customHeight="false" outlineLevel="0" collapsed="false">
      <c r="A138" s="19" t="s">
        <v>447</v>
      </c>
      <c r="B138" s="20" t="s">
        <v>448</v>
      </c>
      <c r="C138" s="19" t="s">
        <v>44</v>
      </c>
      <c r="D138" s="19" t="n">
        <v>45</v>
      </c>
      <c r="E138" s="19" t="s">
        <v>18</v>
      </c>
      <c r="F138" s="19" t="s">
        <v>45</v>
      </c>
      <c r="G138" s="19" t="n">
        <v>9</v>
      </c>
      <c r="H138" s="19" t="n">
        <v>1</v>
      </c>
      <c r="I138" s="19" t="n">
        <v>1</v>
      </c>
      <c r="J138" s="19" t="n">
        <v>0</v>
      </c>
      <c r="K138" s="19" t="s">
        <v>449</v>
      </c>
      <c r="L138" s="21" t="n">
        <v>46273</v>
      </c>
      <c r="M138" s="19" t="s">
        <v>80</v>
      </c>
      <c r="N138" s="22" t="n">
        <f aca="false">MIN(10,H138+I138+2*J138+IF(C138="Female",1,0)+IF(G138&gt;=7,2,IF(G138&gt;=5,1,0))+IF(F138="Tent",1,0))</f>
        <v>5</v>
      </c>
      <c r="O138" s="19" t="str">
        <f aca="false">IF(N138&gt;=6,"High",IF(N138&gt;=3,"Medium","Low"))</f>
        <v>Medium</v>
      </c>
    </row>
    <row r="139" customFormat="false" ht="15" hidden="false" customHeight="false" outlineLevel="0" collapsed="false">
      <c r="A139" s="19" t="s">
        <v>450</v>
      </c>
      <c r="B139" s="20" t="s">
        <v>82</v>
      </c>
      <c r="C139" s="19" t="s">
        <v>44</v>
      </c>
      <c r="D139" s="19" t="n">
        <v>56</v>
      </c>
      <c r="E139" s="19" t="s">
        <v>17</v>
      </c>
      <c r="F139" s="19" t="s">
        <v>45</v>
      </c>
      <c r="G139" s="19" t="n">
        <v>6</v>
      </c>
      <c r="H139" s="19" t="n">
        <v>3</v>
      </c>
      <c r="I139" s="19" t="n">
        <v>1</v>
      </c>
      <c r="J139" s="19" t="n">
        <v>0</v>
      </c>
      <c r="K139" s="19" t="s">
        <v>451</v>
      </c>
      <c r="L139" s="21" t="n">
        <v>46269</v>
      </c>
      <c r="M139" s="19" t="s">
        <v>80</v>
      </c>
      <c r="N139" s="22" t="n">
        <f aca="false">MIN(10,H139+I139+2*J139+IF(C139="Female",1,0)+IF(G139&gt;=7,2,IF(G139&gt;=5,1,0))+IF(F139="Tent",1,0))</f>
        <v>6</v>
      </c>
      <c r="O139" s="19" t="str">
        <f aca="false">IF(N139&gt;=6,"High",IF(N139&gt;=3,"Medium","Low"))</f>
        <v>High</v>
      </c>
    </row>
    <row r="140" customFormat="false" ht="15" hidden="false" customHeight="false" outlineLevel="0" collapsed="false">
      <c r="A140" s="19" t="s">
        <v>452</v>
      </c>
      <c r="B140" s="20" t="s">
        <v>356</v>
      </c>
      <c r="C140" s="19" t="s">
        <v>44</v>
      </c>
      <c r="D140" s="19" t="n">
        <v>45</v>
      </c>
      <c r="E140" s="19" t="s">
        <v>15</v>
      </c>
      <c r="F140" s="19" t="s">
        <v>45</v>
      </c>
      <c r="G140" s="19" t="n">
        <v>9</v>
      </c>
      <c r="H140" s="19" t="n">
        <v>0</v>
      </c>
      <c r="I140" s="19" t="n">
        <v>0</v>
      </c>
      <c r="J140" s="19" t="n">
        <v>0</v>
      </c>
      <c r="K140" s="19" t="s">
        <v>453</v>
      </c>
      <c r="L140" s="21" t="n">
        <v>46286</v>
      </c>
      <c r="M140" s="19" t="s">
        <v>47</v>
      </c>
      <c r="N140" s="22" t="n">
        <f aca="false">MIN(10,H140+I140+2*J140+IF(C140="Female",1,0)+IF(G140&gt;=7,2,IF(G140&gt;=5,1,0))+IF(F140="Tent",1,0))</f>
        <v>3</v>
      </c>
      <c r="O140" s="19" t="str">
        <f aca="false">IF(N140&gt;=6,"High",IF(N140&gt;=3,"Medium","Low"))</f>
        <v>Medium</v>
      </c>
    </row>
    <row r="141" customFormat="false" ht="15" hidden="false" customHeight="false" outlineLevel="0" collapsed="false">
      <c r="A141" s="19" t="s">
        <v>454</v>
      </c>
      <c r="B141" s="20" t="s">
        <v>455</v>
      </c>
      <c r="C141" s="19" t="s">
        <v>44</v>
      </c>
      <c r="D141" s="19" t="n">
        <v>52</v>
      </c>
      <c r="E141" s="19" t="s">
        <v>17</v>
      </c>
      <c r="F141" s="19" t="s">
        <v>45</v>
      </c>
      <c r="G141" s="19" t="n">
        <v>9</v>
      </c>
      <c r="H141" s="19" t="n">
        <v>1</v>
      </c>
      <c r="I141" s="19" t="n">
        <v>0</v>
      </c>
      <c r="J141" s="19" t="n">
        <v>0</v>
      </c>
      <c r="K141" s="19" t="s">
        <v>456</v>
      </c>
      <c r="L141" s="21" t="n">
        <v>46296</v>
      </c>
      <c r="M141" s="19" t="s">
        <v>47</v>
      </c>
      <c r="N141" s="22" t="n">
        <f aca="false">MIN(10,H141+I141+2*J141+IF(C141="Female",1,0)+IF(G141&gt;=7,2,IF(G141&gt;=5,1,0))+IF(F141="Tent",1,0))</f>
        <v>4</v>
      </c>
      <c r="O141" s="19" t="str">
        <f aca="false">IF(N141&gt;=6,"High",IF(N141&gt;=3,"Medium","Low"))</f>
        <v>Medium</v>
      </c>
    </row>
    <row r="142" customFormat="false" ht="15" hidden="false" customHeight="false" outlineLevel="0" collapsed="false">
      <c r="A142" s="19" t="s">
        <v>457</v>
      </c>
      <c r="B142" s="20" t="s">
        <v>458</v>
      </c>
      <c r="C142" s="19" t="s">
        <v>44</v>
      </c>
      <c r="D142" s="19" t="n">
        <v>34</v>
      </c>
      <c r="E142" s="19" t="s">
        <v>16</v>
      </c>
      <c r="F142" s="19" t="s">
        <v>72</v>
      </c>
      <c r="G142" s="19" t="n">
        <v>5</v>
      </c>
      <c r="H142" s="19" t="n">
        <v>2</v>
      </c>
      <c r="I142" s="19" t="n">
        <v>1</v>
      </c>
      <c r="J142" s="19" t="n">
        <v>0</v>
      </c>
      <c r="K142" s="19" t="s">
        <v>459</v>
      </c>
      <c r="L142" s="21" t="n">
        <v>46278</v>
      </c>
      <c r="M142" s="19" t="s">
        <v>47</v>
      </c>
      <c r="N142" s="22" t="n">
        <f aca="false">MIN(10,H142+I142+2*J142+IF(C142="Female",1,0)+IF(G142&gt;=7,2,IF(G142&gt;=5,1,0))+IF(F142="Tent",1,0))</f>
        <v>4</v>
      </c>
      <c r="O142" s="19" t="str">
        <f aca="false">IF(N142&gt;=6,"High",IF(N142&gt;=3,"Medium","Low"))</f>
        <v>Medium</v>
      </c>
    </row>
    <row r="143" customFormat="false" ht="15" hidden="false" customHeight="false" outlineLevel="0" collapsed="false">
      <c r="A143" s="19" t="s">
        <v>460</v>
      </c>
      <c r="B143" s="20" t="s">
        <v>461</v>
      </c>
      <c r="C143" s="19" t="s">
        <v>44</v>
      </c>
      <c r="D143" s="19" t="n">
        <v>37</v>
      </c>
      <c r="E143" s="19" t="s">
        <v>14</v>
      </c>
      <c r="F143" s="19" t="s">
        <v>72</v>
      </c>
      <c r="G143" s="19" t="n">
        <v>8</v>
      </c>
      <c r="H143" s="19" t="n">
        <v>1</v>
      </c>
      <c r="I143" s="19" t="n">
        <v>0</v>
      </c>
      <c r="J143" s="19" t="n">
        <v>0</v>
      </c>
      <c r="K143" s="19" t="s">
        <v>462</v>
      </c>
      <c r="L143" s="21" t="n">
        <v>46283</v>
      </c>
      <c r="M143" s="19" t="s">
        <v>47</v>
      </c>
      <c r="N143" s="22" t="n">
        <f aca="false">MIN(10,H143+I143+2*J143+IF(C143="Female",1,0)+IF(G143&gt;=7,2,IF(G143&gt;=5,1,0))+IF(F143="Tent",1,0))</f>
        <v>3</v>
      </c>
      <c r="O143" s="19" t="str">
        <f aca="false">IF(N143&gt;=6,"High",IF(N143&gt;=3,"Medium","Low"))</f>
        <v>Medium</v>
      </c>
    </row>
    <row r="144" customFormat="false" ht="15" hidden="false" customHeight="false" outlineLevel="0" collapsed="false">
      <c r="A144" s="19" t="s">
        <v>463</v>
      </c>
      <c r="B144" s="20" t="s">
        <v>440</v>
      </c>
      <c r="C144" s="19" t="s">
        <v>44</v>
      </c>
      <c r="D144" s="19" t="n">
        <v>66</v>
      </c>
      <c r="E144" s="19" t="s">
        <v>17</v>
      </c>
      <c r="F144" s="19" t="s">
        <v>45</v>
      </c>
      <c r="G144" s="19" t="n">
        <v>11</v>
      </c>
      <c r="H144" s="19" t="n">
        <v>2</v>
      </c>
      <c r="I144" s="19" t="n">
        <v>0</v>
      </c>
      <c r="J144" s="19" t="n">
        <v>0</v>
      </c>
      <c r="K144" s="19" t="s">
        <v>464</v>
      </c>
      <c r="L144" s="21" t="n">
        <v>46282</v>
      </c>
      <c r="M144" s="19" t="s">
        <v>80</v>
      </c>
      <c r="N144" s="22" t="n">
        <f aca="false">MIN(10,H144+I144+2*J144+IF(C144="Female",1,0)+IF(G144&gt;=7,2,IF(G144&gt;=5,1,0))+IF(F144="Tent",1,0))</f>
        <v>5</v>
      </c>
      <c r="O144" s="19" t="str">
        <f aca="false">IF(N144&gt;=6,"High",IF(N144&gt;=3,"Medium","Low"))</f>
        <v>Medium</v>
      </c>
    </row>
    <row r="145" customFormat="false" ht="15" hidden="false" customHeight="false" outlineLevel="0" collapsed="false">
      <c r="A145" s="19" t="s">
        <v>465</v>
      </c>
      <c r="B145" s="20" t="s">
        <v>466</v>
      </c>
      <c r="C145" s="19" t="s">
        <v>54</v>
      </c>
      <c r="D145" s="19" t="n">
        <v>22</v>
      </c>
      <c r="E145" s="19" t="s">
        <v>14</v>
      </c>
      <c r="F145" s="19" t="s">
        <v>45</v>
      </c>
      <c r="G145" s="19" t="n">
        <v>3</v>
      </c>
      <c r="H145" s="19" t="n">
        <v>1</v>
      </c>
      <c r="I145" s="19" t="n">
        <v>0</v>
      </c>
      <c r="J145" s="19" t="n">
        <v>0</v>
      </c>
      <c r="K145" s="19" t="s">
        <v>467</v>
      </c>
      <c r="L145" s="21" t="n">
        <v>46280</v>
      </c>
      <c r="M145" s="19" t="s">
        <v>80</v>
      </c>
      <c r="N145" s="22" t="n">
        <f aca="false">MIN(10,H145+I145+2*J145+IF(C145="Female",1,0)+IF(G145&gt;=7,2,IF(G145&gt;=5,1,0))+IF(F145="Tent",1,0))</f>
        <v>3</v>
      </c>
      <c r="O145" s="19" t="str">
        <f aca="false">IF(N145&gt;=6,"High",IF(N145&gt;=3,"Medium","Low"))</f>
        <v>Medium</v>
      </c>
    </row>
    <row r="146" customFormat="false" ht="15" hidden="false" customHeight="false" outlineLevel="0" collapsed="false">
      <c r="A146" s="19" t="s">
        <v>468</v>
      </c>
      <c r="B146" s="20" t="s">
        <v>469</v>
      </c>
      <c r="C146" s="19" t="s">
        <v>54</v>
      </c>
      <c r="D146" s="19" t="n">
        <v>49</v>
      </c>
      <c r="E146" s="19" t="s">
        <v>15</v>
      </c>
      <c r="F146" s="19" t="s">
        <v>50</v>
      </c>
      <c r="G146" s="19" t="n">
        <v>1</v>
      </c>
      <c r="H146" s="19" t="n">
        <v>0</v>
      </c>
      <c r="I146" s="19" t="n">
        <v>0</v>
      </c>
      <c r="J146" s="19" t="n">
        <v>1</v>
      </c>
      <c r="K146" s="19" t="s">
        <v>470</v>
      </c>
      <c r="L146" s="21" t="n">
        <v>46296</v>
      </c>
      <c r="M146" s="19" t="s">
        <v>47</v>
      </c>
      <c r="N146" s="22" t="n">
        <f aca="false">MIN(10,H146+I146+2*J146+IF(C146="Female",1,0)+IF(G146&gt;=7,2,IF(G146&gt;=5,1,0))+IF(F146="Tent",1,0))</f>
        <v>3</v>
      </c>
      <c r="O146" s="19" t="str">
        <f aca="false">IF(N146&gt;=6,"High",IF(N146&gt;=3,"Medium","Low"))</f>
        <v>Medium</v>
      </c>
    </row>
    <row r="147" customFormat="false" ht="15" hidden="false" customHeight="false" outlineLevel="0" collapsed="false">
      <c r="A147" s="19" t="s">
        <v>471</v>
      </c>
      <c r="B147" s="20" t="s">
        <v>121</v>
      </c>
      <c r="C147" s="19" t="s">
        <v>44</v>
      </c>
      <c r="D147" s="19" t="n">
        <v>78</v>
      </c>
      <c r="E147" s="19" t="s">
        <v>14</v>
      </c>
      <c r="F147" s="19" t="s">
        <v>55</v>
      </c>
      <c r="G147" s="19" t="n">
        <v>7</v>
      </c>
      <c r="H147" s="19" t="n">
        <v>0</v>
      </c>
      <c r="I147" s="19" t="n">
        <v>1</v>
      </c>
      <c r="J147" s="19" t="n">
        <v>1</v>
      </c>
      <c r="K147" s="19" t="s">
        <v>472</v>
      </c>
      <c r="L147" s="21" t="n">
        <v>46277</v>
      </c>
      <c r="M147" s="19" t="s">
        <v>47</v>
      </c>
      <c r="N147" s="22" t="n">
        <f aca="false">MIN(10,H147+I147+2*J147+IF(C147="Female",1,0)+IF(G147&gt;=7,2,IF(G147&gt;=5,1,0))+IF(F147="Tent",1,0))</f>
        <v>5</v>
      </c>
      <c r="O147" s="19" t="str">
        <f aca="false">IF(N147&gt;=6,"High",IF(N147&gt;=3,"Medium","Low"))</f>
        <v>Medium</v>
      </c>
    </row>
    <row r="148" customFormat="false" ht="15" hidden="false" customHeight="false" outlineLevel="0" collapsed="false">
      <c r="A148" s="19" t="s">
        <v>473</v>
      </c>
      <c r="B148" s="20" t="s">
        <v>474</v>
      </c>
      <c r="C148" s="19" t="s">
        <v>44</v>
      </c>
      <c r="D148" s="19" t="n">
        <v>52</v>
      </c>
      <c r="E148" s="19" t="s">
        <v>17</v>
      </c>
      <c r="F148" s="19" t="s">
        <v>55</v>
      </c>
      <c r="G148" s="19" t="n">
        <v>1</v>
      </c>
      <c r="H148" s="19" t="n">
        <v>0</v>
      </c>
      <c r="I148" s="19" t="n">
        <v>0</v>
      </c>
      <c r="J148" s="19" t="n">
        <v>0</v>
      </c>
      <c r="K148" s="19" t="s">
        <v>475</v>
      </c>
      <c r="L148" s="21" t="n">
        <v>46300</v>
      </c>
      <c r="M148" s="19" t="s">
        <v>47</v>
      </c>
      <c r="N148" s="22" t="n">
        <f aca="false">MIN(10,H148+I148+2*J148+IF(C148="Female",1,0)+IF(G148&gt;=7,2,IF(G148&gt;=5,1,0))+IF(F148="Tent",1,0))</f>
        <v>0</v>
      </c>
      <c r="O148" s="19" t="str">
        <f aca="false">IF(N148&gt;=6,"High",IF(N148&gt;=3,"Medium","Low"))</f>
        <v>Low</v>
      </c>
    </row>
    <row r="149" customFormat="false" ht="15" hidden="false" customHeight="false" outlineLevel="0" collapsed="false">
      <c r="A149" s="19" t="s">
        <v>476</v>
      </c>
      <c r="B149" s="20" t="s">
        <v>427</v>
      </c>
      <c r="C149" s="19" t="s">
        <v>44</v>
      </c>
      <c r="D149" s="19" t="n">
        <v>69</v>
      </c>
      <c r="E149" s="19" t="s">
        <v>16</v>
      </c>
      <c r="F149" s="19" t="s">
        <v>72</v>
      </c>
      <c r="G149" s="19" t="n">
        <v>9</v>
      </c>
      <c r="H149" s="19" t="n">
        <v>0</v>
      </c>
      <c r="I149" s="19" t="n">
        <v>1</v>
      </c>
      <c r="J149" s="19" t="n">
        <v>0</v>
      </c>
      <c r="K149" s="19" t="s">
        <v>477</v>
      </c>
      <c r="L149" s="21" t="n">
        <v>46287</v>
      </c>
      <c r="M149" s="19" t="s">
        <v>80</v>
      </c>
      <c r="N149" s="22" t="n">
        <f aca="false">MIN(10,H149+I149+2*J149+IF(C149="Female",1,0)+IF(G149&gt;=7,2,IF(G149&gt;=5,1,0))+IF(F149="Tent",1,0))</f>
        <v>3</v>
      </c>
      <c r="O149" s="19" t="str">
        <f aca="false">IF(N149&gt;=6,"High",IF(N149&gt;=3,"Medium","Low"))</f>
        <v>Medium</v>
      </c>
    </row>
    <row r="150" customFormat="false" ht="15" hidden="false" customHeight="false" outlineLevel="0" collapsed="false">
      <c r="A150" s="19" t="s">
        <v>478</v>
      </c>
      <c r="B150" s="20" t="s">
        <v>479</v>
      </c>
      <c r="C150" s="19" t="s">
        <v>54</v>
      </c>
      <c r="D150" s="19" t="n">
        <v>78</v>
      </c>
      <c r="E150" s="19" t="s">
        <v>15</v>
      </c>
      <c r="F150" s="19" t="s">
        <v>45</v>
      </c>
      <c r="G150" s="19" t="n">
        <v>9</v>
      </c>
      <c r="H150" s="19" t="n">
        <v>1</v>
      </c>
      <c r="I150" s="19" t="n">
        <v>0</v>
      </c>
      <c r="J150" s="19" t="n">
        <v>0</v>
      </c>
      <c r="K150" s="19" t="s">
        <v>480</v>
      </c>
      <c r="L150" s="21" t="n">
        <v>46286</v>
      </c>
      <c r="M150" s="19" t="s">
        <v>47</v>
      </c>
      <c r="N150" s="22" t="n">
        <f aca="false">MIN(10,H150+I150+2*J150+IF(C150="Female",1,0)+IF(G150&gt;=7,2,IF(G150&gt;=5,1,0))+IF(F150="Tent",1,0))</f>
        <v>5</v>
      </c>
      <c r="O150" s="19" t="str">
        <f aca="false">IF(N150&gt;=6,"High",IF(N150&gt;=3,"Medium","Low"))</f>
        <v>Medium</v>
      </c>
    </row>
    <row r="151" customFormat="false" ht="15" hidden="false" customHeight="false" outlineLevel="0" collapsed="false">
      <c r="A151" s="19" t="s">
        <v>481</v>
      </c>
      <c r="B151" s="20" t="s">
        <v>482</v>
      </c>
      <c r="C151" s="19" t="s">
        <v>44</v>
      </c>
      <c r="D151" s="19" t="n">
        <v>48</v>
      </c>
      <c r="E151" s="19" t="s">
        <v>16</v>
      </c>
      <c r="F151" s="19" t="s">
        <v>45</v>
      </c>
      <c r="G151" s="19" t="n">
        <v>5</v>
      </c>
      <c r="H151" s="19" t="n">
        <v>1</v>
      </c>
      <c r="I151" s="19" t="n">
        <v>0</v>
      </c>
      <c r="J151" s="19" t="n">
        <v>0</v>
      </c>
      <c r="K151" s="19" t="s">
        <v>483</v>
      </c>
      <c r="L151" s="21" t="n">
        <v>46273</v>
      </c>
      <c r="M151" s="19" t="s">
        <v>80</v>
      </c>
      <c r="N151" s="22" t="n">
        <f aca="false">MIN(10,H151+I151+2*J151+IF(C151="Female",1,0)+IF(G151&gt;=7,2,IF(G151&gt;=5,1,0))+IF(F151="Tent",1,0))</f>
        <v>3</v>
      </c>
      <c r="O151" s="19" t="str">
        <f aca="false">IF(N151&gt;=6,"High",IF(N151&gt;=3,"Medium","Low"))</f>
        <v>Medium</v>
      </c>
    </row>
    <row r="152" customFormat="false" ht="15" hidden="false" customHeight="false" outlineLevel="0" collapsed="false">
      <c r="A152" s="19" t="s">
        <v>484</v>
      </c>
      <c r="B152" s="20" t="s">
        <v>380</v>
      </c>
      <c r="C152" s="19" t="s">
        <v>44</v>
      </c>
      <c r="D152" s="19" t="n">
        <v>66</v>
      </c>
      <c r="E152" s="19" t="s">
        <v>18</v>
      </c>
      <c r="F152" s="19" t="s">
        <v>45</v>
      </c>
      <c r="G152" s="19" t="n">
        <v>7</v>
      </c>
      <c r="H152" s="19" t="n">
        <v>3</v>
      </c>
      <c r="I152" s="19" t="n">
        <v>0</v>
      </c>
      <c r="J152" s="19" t="n">
        <v>0</v>
      </c>
      <c r="K152" s="19" t="s">
        <v>485</v>
      </c>
      <c r="L152" s="21" t="n">
        <v>46295</v>
      </c>
      <c r="M152" s="19" t="s">
        <v>80</v>
      </c>
      <c r="N152" s="22" t="n">
        <f aca="false">MIN(10,H152+I152+2*J152+IF(C152="Female",1,0)+IF(G152&gt;=7,2,IF(G152&gt;=5,1,0))+IF(F152="Tent",1,0))</f>
        <v>6</v>
      </c>
      <c r="O152" s="19" t="str">
        <f aca="false">IF(N152&gt;=6,"High",IF(N152&gt;=3,"Medium","Low"))</f>
        <v>High</v>
      </c>
    </row>
    <row r="153" customFormat="false" ht="15" hidden="false" customHeight="false" outlineLevel="0" collapsed="false">
      <c r="A153" s="19" t="s">
        <v>486</v>
      </c>
      <c r="B153" s="20" t="s">
        <v>49</v>
      </c>
      <c r="C153" s="19" t="s">
        <v>44</v>
      </c>
      <c r="D153" s="19" t="n">
        <v>23</v>
      </c>
      <c r="E153" s="19" t="s">
        <v>18</v>
      </c>
      <c r="F153" s="19" t="s">
        <v>45</v>
      </c>
      <c r="G153" s="19" t="n">
        <v>8</v>
      </c>
      <c r="H153" s="19" t="n">
        <v>1</v>
      </c>
      <c r="I153" s="19" t="n">
        <v>0</v>
      </c>
      <c r="J153" s="19" t="n">
        <v>0</v>
      </c>
      <c r="K153" s="19" t="s">
        <v>487</v>
      </c>
      <c r="L153" s="21" t="n">
        <v>46289</v>
      </c>
      <c r="M153" s="19" t="s">
        <v>80</v>
      </c>
      <c r="N153" s="22" t="n">
        <f aca="false">MIN(10,H153+I153+2*J153+IF(C153="Female",1,0)+IF(G153&gt;=7,2,IF(G153&gt;=5,1,0))+IF(F153="Tent",1,0))</f>
        <v>4</v>
      </c>
      <c r="O153" s="19" t="str">
        <f aca="false">IF(N153&gt;=6,"High",IF(N153&gt;=3,"Medium","Low"))</f>
        <v>Medium</v>
      </c>
    </row>
    <row r="154" customFormat="false" ht="15" hidden="false" customHeight="false" outlineLevel="0" collapsed="false">
      <c r="A154" s="19" t="s">
        <v>488</v>
      </c>
      <c r="B154" s="20" t="s">
        <v>437</v>
      </c>
      <c r="C154" s="19" t="s">
        <v>44</v>
      </c>
      <c r="D154" s="19" t="n">
        <v>24</v>
      </c>
      <c r="E154" s="19" t="s">
        <v>18</v>
      </c>
      <c r="F154" s="19" t="s">
        <v>45</v>
      </c>
      <c r="G154" s="19" t="n">
        <v>6</v>
      </c>
      <c r="H154" s="19" t="n">
        <v>0</v>
      </c>
      <c r="I154" s="19" t="n">
        <v>1</v>
      </c>
      <c r="J154" s="19" t="n">
        <v>0</v>
      </c>
      <c r="K154" s="19" t="s">
        <v>489</v>
      </c>
      <c r="L154" s="21" t="n">
        <v>46297</v>
      </c>
      <c r="M154" s="19" t="s">
        <v>47</v>
      </c>
      <c r="N154" s="22" t="n">
        <f aca="false">MIN(10,H154+I154+2*J154+IF(C154="Female",1,0)+IF(G154&gt;=7,2,IF(G154&gt;=5,1,0))+IF(F154="Tent",1,0))</f>
        <v>3</v>
      </c>
      <c r="O154" s="19" t="str">
        <f aca="false">IF(N154&gt;=6,"High",IF(N154&gt;=3,"Medium","Low"))</f>
        <v>Medium</v>
      </c>
    </row>
    <row r="155" customFormat="false" ht="15" hidden="false" customHeight="false" outlineLevel="0" collapsed="false">
      <c r="A155" s="19" t="s">
        <v>490</v>
      </c>
      <c r="B155" s="20" t="s">
        <v>491</v>
      </c>
      <c r="C155" s="19" t="s">
        <v>54</v>
      </c>
      <c r="D155" s="19" t="n">
        <v>66</v>
      </c>
      <c r="E155" s="19" t="s">
        <v>15</v>
      </c>
      <c r="F155" s="19" t="s">
        <v>72</v>
      </c>
      <c r="G155" s="19" t="n">
        <v>6</v>
      </c>
      <c r="H155" s="19" t="n">
        <v>1</v>
      </c>
      <c r="I155" s="19" t="n">
        <v>0</v>
      </c>
      <c r="J155" s="19" t="n">
        <v>0</v>
      </c>
      <c r="K155" s="19" t="s">
        <v>492</v>
      </c>
      <c r="L155" s="21" t="n">
        <v>46266</v>
      </c>
      <c r="M155" s="19" t="s">
        <v>47</v>
      </c>
      <c r="N155" s="22" t="n">
        <f aca="false">MIN(10,H155+I155+2*J155+IF(C155="Female",1,0)+IF(G155&gt;=7,2,IF(G155&gt;=5,1,0))+IF(F155="Tent",1,0))</f>
        <v>3</v>
      </c>
      <c r="O155" s="19" t="str">
        <f aca="false">IF(N155&gt;=6,"High",IF(N155&gt;=3,"Medium","Low"))</f>
        <v>Medium</v>
      </c>
    </row>
    <row r="156" customFormat="false" ht="15" hidden="false" customHeight="false" outlineLevel="0" collapsed="false">
      <c r="A156" s="19" t="s">
        <v>493</v>
      </c>
      <c r="B156" s="20" t="s">
        <v>85</v>
      </c>
      <c r="C156" s="19" t="s">
        <v>44</v>
      </c>
      <c r="D156" s="19" t="n">
        <v>68</v>
      </c>
      <c r="E156" s="19" t="s">
        <v>15</v>
      </c>
      <c r="F156" s="19" t="s">
        <v>50</v>
      </c>
      <c r="G156" s="19" t="n">
        <v>11</v>
      </c>
      <c r="H156" s="19" t="n">
        <v>3</v>
      </c>
      <c r="I156" s="19" t="n">
        <v>0</v>
      </c>
      <c r="J156" s="19" t="n">
        <v>1</v>
      </c>
      <c r="K156" s="19" t="s">
        <v>494</v>
      </c>
      <c r="L156" s="21" t="n">
        <v>46277</v>
      </c>
      <c r="M156" s="19" t="s">
        <v>66</v>
      </c>
      <c r="N156" s="22" t="n">
        <f aca="false">MIN(10,H156+I156+2*J156+IF(C156="Female",1,0)+IF(G156&gt;=7,2,IF(G156&gt;=5,1,0))+IF(F156="Tent",1,0))</f>
        <v>7</v>
      </c>
      <c r="O156" s="19" t="str">
        <f aca="false">IF(N156&gt;=6,"High",IF(N156&gt;=3,"Medium","Low"))</f>
        <v>High</v>
      </c>
    </row>
    <row r="157" customFormat="false" ht="15" hidden="false" customHeight="false" outlineLevel="0" collapsed="false">
      <c r="A157" s="19" t="s">
        <v>495</v>
      </c>
      <c r="B157" s="20" t="s">
        <v>496</v>
      </c>
      <c r="C157" s="19" t="s">
        <v>44</v>
      </c>
      <c r="D157" s="19" t="n">
        <v>27</v>
      </c>
      <c r="E157" s="19" t="s">
        <v>16</v>
      </c>
      <c r="F157" s="19" t="s">
        <v>45</v>
      </c>
      <c r="G157" s="19" t="n">
        <v>11</v>
      </c>
      <c r="H157" s="19" t="n">
        <v>0</v>
      </c>
      <c r="I157" s="19" t="n">
        <v>1</v>
      </c>
      <c r="J157" s="19" t="n">
        <v>1</v>
      </c>
      <c r="K157" s="19" t="s">
        <v>497</v>
      </c>
      <c r="L157" s="21" t="n">
        <v>46300</v>
      </c>
      <c r="M157" s="19" t="s">
        <v>66</v>
      </c>
      <c r="N157" s="22" t="n">
        <f aca="false">MIN(10,H157+I157+2*J157+IF(C157="Female",1,0)+IF(G157&gt;=7,2,IF(G157&gt;=5,1,0))+IF(F157="Tent",1,0))</f>
        <v>6</v>
      </c>
      <c r="O157" s="19" t="str">
        <f aca="false">IF(N157&gt;=6,"High",IF(N157&gt;=3,"Medium","Low"))</f>
        <v>High</v>
      </c>
    </row>
    <row r="158" customFormat="false" ht="15" hidden="false" customHeight="false" outlineLevel="0" collapsed="false">
      <c r="A158" s="19" t="s">
        <v>498</v>
      </c>
      <c r="B158" s="20" t="s">
        <v>499</v>
      </c>
      <c r="C158" s="19" t="s">
        <v>44</v>
      </c>
      <c r="D158" s="19" t="n">
        <v>71</v>
      </c>
      <c r="E158" s="19" t="s">
        <v>15</v>
      </c>
      <c r="F158" s="19" t="s">
        <v>45</v>
      </c>
      <c r="G158" s="19" t="n">
        <v>9</v>
      </c>
      <c r="H158" s="19" t="n">
        <v>2</v>
      </c>
      <c r="I158" s="19" t="n">
        <v>2</v>
      </c>
      <c r="J158" s="19" t="n">
        <v>0</v>
      </c>
      <c r="K158" s="19" t="s">
        <v>500</v>
      </c>
      <c r="L158" s="21" t="n">
        <v>46290</v>
      </c>
      <c r="M158" s="19" t="s">
        <v>47</v>
      </c>
      <c r="N158" s="22" t="n">
        <f aca="false">MIN(10,H158+I158+2*J158+IF(C158="Female",1,0)+IF(G158&gt;=7,2,IF(G158&gt;=5,1,0))+IF(F158="Tent",1,0))</f>
        <v>7</v>
      </c>
      <c r="O158" s="19" t="str">
        <f aca="false">IF(N158&gt;=6,"High",IF(N158&gt;=3,"Medium","Low"))</f>
        <v>High</v>
      </c>
    </row>
    <row r="159" customFormat="false" ht="15" hidden="false" customHeight="false" outlineLevel="0" collapsed="false">
      <c r="A159" s="19" t="s">
        <v>501</v>
      </c>
      <c r="B159" s="20" t="s">
        <v>502</v>
      </c>
      <c r="C159" s="19" t="s">
        <v>54</v>
      </c>
      <c r="D159" s="19" t="n">
        <v>25</v>
      </c>
      <c r="E159" s="19" t="s">
        <v>18</v>
      </c>
      <c r="F159" s="19" t="s">
        <v>45</v>
      </c>
      <c r="G159" s="19" t="n">
        <v>2</v>
      </c>
      <c r="H159" s="19" t="n">
        <v>1</v>
      </c>
      <c r="I159" s="19" t="n">
        <v>0</v>
      </c>
      <c r="J159" s="19" t="n">
        <v>1</v>
      </c>
      <c r="K159" s="19" t="s">
        <v>503</v>
      </c>
      <c r="L159" s="21" t="n">
        <v>46270</v>
      </c>
      <c r="M159" s="19" t="s">
        <v>47</v>
      </c>
      <c r="N159" s="22" t="n">
        <f aca="false">MIN(10,H159+I159+2*J159+IF(C159="Female",1,0)+IF(G159&gt;=7,2,IF(G159&gt;=5,1,0))+IF(F159="Tent",1,0))</f>
        <v>5</v>
      </c>
      <c r="O159" s="19" t="str">
        <f aca="false">IF(N159&gt;=6,"High",IF(N159&gt;=3,"Medium","Low"))</f>
        <v>Medium</v>
      </c>
    </row>
    <row r="160" customFormat="false" ht="15" hidden="false" customHeight="false" outlineLevel="0" collapsed="false">
      <c r="A160" s="19" t="s">
        <v>504</v>
      </c>
      <c r="B160" s="20" t="s">
        <v>350</v>
      </c>
      <c r="C160" s="19" t="s">
        <v>44</v>
      </c>
      <c r="D160" s="19" t="n">
        <v>33</v>
      </c>
      <c r="E160" s="19" t="s">
        <v>18</v>
      </c>
      <c r="F160" s="19" t="s">
        <v>45</v>
      </c>
      <c r="G160" s="19" t="n">
        <v>8</v>
      </c>
      <c r="H160" s="19" t="n">
        <v>1</v>
      </c>
      <c r="I160" s="19" t="n">
        <v>0</v>
      </c>
      <c r="J160" s="19" t="n">
        <v>0</v>
      </c>
      <c r="K160" s="19" t="s">
        <v>505</v>
      </c>
      <c r="L160" s="21" t="n">
        <v>46284</v>
      </c>
      <c r="M160" s="19" t="s">
        <v>47</v>
      </c>
      <c r="N160" s="22" t="n">
        <f aca="false">MIN(10,H160+I160+2*J160+IF(C160="Female",1,0)+IF(G160&gt;=7,2,IF(G160&gt;=5,1,0))+IF(F160="Tent",1,0))</f>
        <v>4</v>
      </c>
      <c r="O160" s="19" t="str">
        <f aca="false">IF(N160&gt;=6,"High",IF(N160&gt;=3,"Medium","Low"))</f>
        <v>Medium</v>
      </c>
    </row>
    <row r="161" customFormat="false" ht="15" hidden="false" customHeight="false" outlineLevel="0" collapsed="false">
      <c r="A161" s="19" t="s">
        <v>506</v>
      </c>
      <c r="B161" s="20" t="s">
        <v>112</v>
      </c>
      <c r="C161" s="19" t="s">
        <v>44</v>
      </c>
      <c r="D161" s="19" t="n">
        <v>56</v>
      </c>
      <c r="E161" s="19" t="s">
        <v>15</v>
      </c>
      <c r="F161" s="19" t="s">
        <v>50</v>
      </c>
      <c r="G161" s="19" t="n">
        <v>5</v>
      </c>
      <c r="H161" s="19" t="n">
        <v>0</v>
      </c>
      <c r="I161" s="19" t="n">
        <v>0</v>
      </c>
      <c r="J161" s="19" t="n">
        <v>0</v>
      </c>
      <c r="K161" s="19" t="s">
        <v>507</v>
      </c>
      <c r="L161" s="21" t="n">
        <v>46301</v>
      </c>
      <c r="M161" s="19" t="s">
        <v>47</v>
      </c>
      <c r="N161" s="22" t="n">
        <f aca="false">MIN(10,H161+I161+2*J161+IF(C161="Female",1,0)+IF(G161&gt;=7,2,IF(G161&gt;=5,1,0))+IF(F161="Tent",1,0))</f>
        <v>1</v>
      </c>
      <c r="O161" s="19" t="str">
        <f aca="false">IF(N161&gt;=6,"High",IF(N161&gt;=3,"Medium","Low"))</f>
        <v>Low</v>
      </c>
    </row>
    <row r="162" customFormat="false" ht="15" hidden="false" customHeight="false" outlineLevel="0" collapsed="false">
      <c r="A162" s="19" t="s">
        <v>508</v>
      </c>
      <c r="B162" s="20" t="s">
        <v>509</v>
      </c>
      <c r="C162" s="19" t="s">
        <v>44</v>
      </c>
      <c r="D162" s="19" t="n">
        <v>49</v>
      </c>
      <c r="E162" s="19" t="s">
        <v>15</v>
      </c>
      <c r="F162" s="19" t="s">
        <v>50</v>
      </c>
      <c r="G162" s="19" t="n">
        <v>8</v>
      </c>
      <c r="H162" s="19" t="n">
        <v>0</v>
      </c>
      <c r="I162" s="19" t="n">
        <v>0</v>
      </c>
      <c r="J162" s="19" t="n">
        <v>0</v>
      </c>
      <c r="K162" s="19" t="s">
        <v>510</v>
      </c>
      <c r="L162" s="21" t="n">
        <v>46300</v>
      </c>
      <c r="M162" s="19" t="s">
        <v>47</v>
      </c>
      <c r="N162" s="22" t="n">
        <f aca="false">MIN(10,H162+I162+2*J162+IF(C162="Female",1,0)+IF(G162&gt;=7,2,IF(G162&gt;=5,1,0))+IF(F162="Tent",1,0))</f>
        <v>2</v>
      </c>
      <c r="O162" s="19" t="str">
        <f aca="false">IF(N162&gt;=6,"High",IF(N162&gt;=3,"Medium","Low"))</f>
        <v>Low</v>
      </c>
    </row>
    <row r="163" customFormat="false" ht="15" hidden="false" customHeight="false" outlineLevel="0" collapsed="false">
      <c r="A163" s="19" t="s">
        <v>511</v>
      </c>
      <c r="B163" s="20" t="s">
        <v>512</v>
      </c>
      <c r="C163" s="19" t="s">
        <v>44</v>
      </c>
      <c r="D163" s="19" t="n">
        <v>60</v>
      </c>
      <c r="E163" s="19" t="s">
        <v>14</v>
      </c>
      <c r="F163" s="19" t="s">
        <v>55</v>
      </c>
      <c r="G163" s="19" t="n">
        <v>6</v>
      </c>
      <c r="H163" s="19" t="n">
        <v>3</v>
      </c>
      <c r="I163" s="19" t="n">
        <v>0</v>
      </c>
      <c r="J163" s="19" t="n">
        <v>0</v>
      </c>
      <c r="K163" s="19" t="s">
        <v>513</v>
      </c>
      <c r="L163" s="21" t="n">
        <v>46287</v>
      </c>
      <c r="M163" s="19" t="s">
        <v>80</v>
      </c>
      <c r="N163" s="22" t="n">
        <f aca="false">MIN(10,H163+I163+2*J163+IF(C163="Female",1,0)+IF(G163&gt;=7,2,IF(G163&gt;=5,1,0))+IF(F163="Tent",1,0))</f>
        <v>4</v>
      </c>
      <c r="O163" s="19" t="str">
        <f aca="false">IF(N163&gt;=6,"High",IF(N163&gt;=3,"Medium","Low"))</f>
        <v>Medium</v>
      </c>
    </row>
    <row r="164" customFormat="false" ht="15" hidden="false" customHeight="false" outlineLevel="0" collapsed="false">
      <c r="A164" s="19" t="s">
        <v>514</v>
      </c>
      <c r="B164" s="20" t="s">
        <v>515</v>
      </c>
      <c r="C164" s="19" t="s">
        <v>54</v>
      </c>
      <c r="D164" s="19" t="n">
        <v>65</v>
      </c>
      <c r="E164" s="19" t="s">
        <v>18</v>
      </c>
      <c r="F164" s="19" t="s">
        <v>45</v>
      </c>
      <c r="G164" s="19" t="n">
        <v>2</v>
      </c>
      <c r="H164" s="19" t="n">
        <v>0</v>
      </c>
      <c r="I164" s="19" t="n">
        <v>0</v>
      </c>
      <c r="J164" s="19" t="n">
        <v>0</v>
      </c>
      <c r="K164" s="19" t="s">
        <v>516</v>
      </c>
      <c r="L164" s="21" t="n">
        <v>46303</v>
      </c>
      <c r="M164" s="19" t="s">
        <v>47</v>
      </c>
      <c r="N164" s="22" t="n">
        <f aca="false">MIN(10,H164+I164+2*J164+IF(C164="Female",1,0)+IF(G164&gt;=7,2,IF(G164&gt;=5,1,0))+IF(F164="Tent",1,0))</f>
        <v>2</v>
      </c>
      <c r="O164" s="19" t="str">
        <f aca="false">IF(N164&gt;=6,"High",IF(N164&gt;=3,"Medium","Low"))</f>
        <v>Low</v>
      </c>
    </row>
    <row r="165" customFormat="false" ht="15" hidden="false" customHeight="false" outlineLevel="0" collapsed="false">
      <c r="A165" s="19" t="s">
        <v>517</v>
      </c>
      <c r="B165" s="20" t="s">
        <v>265</v>
      </c>
      <c r="C165" s="19" t="s">
        <v>44</v>
      </c>
      <c r="D165" s="19" t="n">
        <v>64</v>
      </c>
      <c r="E165" s="19" t="s">
        <v>15</v>
      </c>
      <c r="F165" s="19" t="s">
        <v>45</v>
      </c>
      <c r="G165" s="19" t="n">
        <v>4</v>
      </c>
      <c r="H165" s="19" t="n">
        <v>0</v>
      </c>
      <c r="I165" s="19" t="n">
        <v>1</v>
      </c>
      <c r="J165" s="19" t="n">
        <v>0</v>
      </c>
      <c r="K165" s="19" t="s">
        <v>518</v>
      </c>
      <c r="L165" s="21" t="n">
        <v>46304</v>
      </c>
      <c r="M165" s="19" t="s">
        <v>47</v>
      </c>
      <c r="N165" s="22" t="n">
        <f aca="false">MIN(10,H165+I165+2*J165+IF(C165="Female",1,0)+IF(G165&gt;=7,2,IF(G165&gt;=5,1,0))+IF(F165="Tent",1,0))</f>
        <v>2</v>
      </c>
      <c r="O165" s="19" t="str">
        <f aca="false">IF(N165&gt;=6,"High",IF(N165&gt;=3,"Medium","Low"))</f>
        <v>Low</v>
      </c>
    </row>
    <row r="166" customFormat="false" ht="15" hidden="false" customHeight="false" outlineLevel="0" collapsed="false">
      <c r="A166" s="19" t="s">
        <v>519</v>
      </c>
      <c r="B166" s="20" t="s">
        <v>88</v>
      </c>
      <c r="C166" s="19" t="s">
        <v>44</v>
      </c>
      <c r="D166" s="19" t="n">
        <v>67</v>
      </c>
      <c r="E166" s="19" t="s">
        <v>16</v>
      </c>
      <c r="F166" s="19" t="s">
        <v>55</v>
      </c>
      <c r="G166" s="19" t="n">
        <v>6</v>
      </c>
      <c r="H166" s="19" t="n">
        <v>1</v>
      </c>
      <c r="I166" s="19" t="n">
        <v>0</v>
      </c>
      <c r="J166" s="19" t="n">
        <v>0</v>
      </c>
      <c r="K166" s="19" t="s">
        <v>520</v>
      </c>
      <c r="L166" s="21" t="n">
        <v>46296</v>
      </c>
      <c r="M166" s="19" t="s">
        <v>47</v>
      </c>
      <c r="N166" s="22" t="n">
        <f aca="false">MIN(10,H166+I166+2*J166+IF(C166="Female",1,0)+IF(G166&gt;=7,2,IF(G166&gt;=5,1,0))+IF(F166="Tent",1,0))</f>
        <v>2</v>
      </c>
      <c r="O166" s="19" t="str">
        <f aca="false">IF(N166&gt;=6,"High",IF(N166&gt;=3,"Medium","Low"))</f>
        <v>Low</v>
      </c>
    </row>
    <row r="167" customFormat="false" ht="15" hidden="false" customHeight="false" outlineLevel="0" collapsed="false">
      <c r="A167" s="19" t="s">
        <v>521</v>
      </c>
      <c r="B167" s="20" t="s">
        <v>522</v>
      </c>
      <c r="C167" s="19" t="s">
        <v>44</v>
      </c>
      <c r="D167" s="19" t="n">
        <v>40</v>
      </c>
      <c r="E167" s="19" t="s">
        <v>15</v>
      </c>
      <c r="F167" s="19" t="s">
        <v>45</v>
      </c>
      <c r="G167" s="19" t="n">
        <v>8</v>
      </c>
      <c r="H167" s="19" t="n">
        <v>0</v>
      </c>
      <c r="I167" s="19" t="n">
        <v>0</v>
      </c>
      <c r="J167" s="19" t="n">
        <v>0</v>
      </c>
      <c r="K167" s="19" t="s">
        <v>523</v>
      </c>
      <c r="L167" s="21" t="n">
        <v>46278</v>
      </c>
      <c r="M167" s="19" t="s">
        <v>80</v>
      </c>
      <c r="N167" s="22" t="n">
        <f aca="false">MIN(10,H167+I167+2*J167+IF(C167="Female",1,0)+IF(G167&gt;=7,2,IF(G167&gt;=5,1,0))+IF(F167="Tent",1,0))</f>
        <v>3</v>
      </c>
      <c r="O167" s="19" t="str">
        <f aca="false">IF(N167&gt;=6,"High",IF(N167&gt;=3,"Medium","Low"))</f>
        <v>Medium</v>
      </c>
    </row>
    <row r="168" customFormat="false" ht="15" hidden="false" customHeight="false" outlineLevel="0" collapsed="false">
      <c r="A168" s="19" t="s">
        <v>524</v>
      </c>
      <c r="B168" s="20" t="s">
        <v>193</v>
      </c>
      <c r="C168" s="19" t="s">
        <v>44</v>
      </c>
      <c r="D168" s="19" t="n">
        <v>29</v>
      </c>
      <c r="E168" s="19" t="s">
        <v>15</v>
      </c>
      <c r="F168" s="19" t="s">
        <v>50</v>
      </c>
      <c r="G168" s="19" t="n">
        <v>8</v>
      </c>
      <c r="H168" s="19" t="n">
        <v>1</v>
      </c>
      <c r="I168" s="19" t="n">
        <v>1</v>
      </c>
      <c r="J168" s="19" t="n">
        <v>0</v>
      </c>
      <c r="K168" s="19" t="s">
        <v>525</v>
      </c>
      <c r="L168" s="21" t="n">
        <v>46288</v>
      </c>
      <c r="M168" s="19" t="s">
        <v>47</v>
      </c>
      <c r="N168" s="22" t="n">
        <f aca="false">MIN(10,H168+I168+2*J168+IF(C168="Female",1,0)+IF(G168&gt;=7,2,IF(G168&gt;=5,1,0))+IF(F168="Tent",1,0))</f>
        <v>4</v>
      </c>
      <c r="O168" s="19" t="str">
        <f aca="false">IF(N168&gt;=6,"High",IF(N168&gt;=3,"Medium","Low"))</f>
        <v>Medium</v>
      </c>
    </row>
    <row r="169" customFormat="false" ht="15" hidden="false" customHeight="false" outlineLevel="0" collapsed="false">
      <c r="A169" s="19" t="s">
        <v>526</v>
      </c>
      <c r="B169" s="20" t="s">
        <v>106</v>
      </c>
      <c r="C169" s="19" t="s">
        <v>44</v>
      </c>
      <c r="D169" s="19" t="n">
        <v>27</v>
      </c>
      <c r="E169" s="19" t="s">
        <v>15</v>
      </c>
      <c r="F169" s="19" t="s">
        <v>45</v>
      </c>
      <c r="G169" s="19" t="n">
        <v>6</v>
      </c>
      <c r="H169" s="19" t="n">
        <v>2</v>
      </c>
      <c r="I169" s="19" t="n">
        <v>0</v>
      </c>
      <c r="J169" s="19" t="n">
        <v>0</v>
      </c>
      <c r="K169" s="19" t="s">
        <v>527</v>
      </c>
      <c r="L169" s="21" t="n">
        <v>46292</v>
      </c>
      <c r="M169" s="19" t="s">
        <v>47</v>
      </c>
      <c r="N169" s="22" t="n">
        <f aca="false">MIN(10,H169+I169+2*J169+IF(C169="Female",1,0)+IF(G169&gt;=7,2,IF(G169&gt;=5,1,0))+IF(F169="Tent",1,0))</f>
        <v>4</v>
      </c>
      <c r="O169" s="19" t="str">
        <f aca="false">IF(N169&gt;=6,"High",IF(N169&gt;=3,"Medium","Low"))</f>
        <v>Medium</v>
      </c>
    </row>
    <row r="170" customFormat="false" ht="15" hidden="false" customHeight="false" outlineLevel="0" collapsed="false">
      <c r="A170" s="19" t="s">
        <v>528</v>
      </c>
      <c r="B170" s="20" t="s">
        <v>406</v>
      </c>
      <c r="C170" s="19" t="s">
        <v>54</v>
      </c>
      <c r="D170" s="19" t="n">
        <v>54</v>
      </c>
      <c r="E170" s="19" t="s">
        <v>17</v>
      </c>
      <c r="F170" s="19" t="s">
        <v>45</v>
      </c>
      <c r="G170" s="19" t="n">
        <v>2</v>
      </c>
      <c r="H170" s="19" t="n">
        <v>1</v>
      </c>
      <c r="I170" s="19" t="n">
        <v>1</v>
      </c>
      <c r="J170" s="19" t="n">
        <v>1</v>
      </c>
      <c r="K170" s="19" t="s">
        <v>529</v>
      </c>
      <c r="L170" s="21" t="n">
        <v>46300</v>
      </c>
      <c r="M170" s="19" t="s">
        <v>47</v>
      </c>
      <c r="N170" s="22" t="n">
        <f aca="false">MIN(10,H170+I170+2*J170+IF(C170="Female",1,0)+IF(G170&gt;=7,2,IF(G170&gt;=5,1,0))+IF(F170="Tent",1,0))</f>
        <v>6</v>
      </c>
      <c r="O170" s="19" t="str">
        <f aca="false">IF(N170&gt;=6,"High",IF(N170&gt;=3,"Medium","Low"))</f>
        <v>High</v>
      </c>
    </row>
    <row r="171" customFormat="false" ht="15" hidden="false" customHeight="false" outlineLevel="0" collapsed="false">
      <c r="A171" s="19" t="s">
        <v>530</v>
      </c>
      <c r="B171" s="20" t="s">
        <v>531</v>
      </c>
      <c r="C171" s="19" t="s">
        <v>54</v>
      </c>
      <c r="D171" s="19" t="n">
        <v>28</v>
      </c>
      <c r="E171" s="19" t="s">
        <v>15</v>
      </c>
      <c r="F171" s="19" t="s">
        <v>45</v>
      </c>
      <c r="G171" s="19" t="n">
        <v>6</v>
      </c>
      <c r="H171" s="19" t="n">
        <v>1</v>
      </c>
      <c r="I171" s="19" t="n">
        <v>0</v>
      </c>
      <c r="J171" s="19" t="n">
        <v>1</v>
      </c>
      <c r="K171" s="19" t="s">
        <v>532</v>
      </c>
      <c r="L171" s="21" t="n">
        <v>46299</v>
      </c>
      <c r="M171" s="19" t="s">
        <v>47</v>
      </c>
      <c r="N171" s="22" t="n">
        <f aca="false">MIN(10,H171+I171+2*J171+IF(C171="Female",1,0)+IF(G171&gt;=7,2,IF(G171&gt;=5,1,0))+IF(F171="Tent",1,0))</f>
        <v>6</v>
      </c>
      <c r="O171" s="19" t="str">
        <f aca="false">IF(N171&gt;=6,"High",IF(N171&gt;=3,"Medium","Low"))</f>
        <v>High</v>
      </c>
    </row>
    <row r="172" customFormat="false" ht="15" hidden="false" customHeight="false" outlineLevel="0" collapsed="false">
      <c r="A172" s="19" t="s">
        <v>533</v>
      </c>
      <c r="B172" s="20" t="s">
        <v>534</v>
      </c>
      <c r="C172" s="19" t="s">
        <v>44</v>
      </c>
      <c r="D172" s="19" t="n">
        <v>60</v>
      </c>
      <c r="E172" s="19" t="s">
        <v>14</v>
      </c>
      <c r="F172" s="19" t="s">
        <v>45</v>
      </c>
      <c r="G172" s="19" t="n">
        <v>2</v>
      </c>
      <c r="H172" s="19" t="n">
        <v>1</v>
      </c>
      <c r="I172" s="19" t="n">
        <v>0</v>
      </c>
      <c r="J172" s="19" t="n">
        <v>0</v>
      </c>
      <c r="K172" s="19" t="s">
        <v>535</v>
      </c>
      <c r="L172" s="21" t="n">
        <v>46271</v>
      </c>
      <c r="M172" s="19" t="s">
        <v>47</v>
      </c>
      <c r="N172" s="22" t="n">
        <f aca="false">MIN(10,H172+I172+2*J172+IF(C172="Female",1,0)+IF(G172&gt;=7,2,IF(G172&gt;=5,1,0))+IF(F172="Tent",1,0))</f>
        <v>2</v>
      </c>
      <c r="O172" s="19" t="str">
        <f aca="false">IF(N172&gt;=6,"High",IF(N172&gt;=3,"Medium","Low"))</f>
        <v>Low</v>
      </c>
    </row>
    <row r="173" customFormat="false" ht="15" hidden="false" customHeight="false" outlineLevel="0" collapsed="false">
      <c r="A173" s="19" t="s">
        <v>536</v>
      </c>
      <c r="B173" s="20" t="s">
        <v>537</v>
      </c>
      <c r="C173" s="19" t="s">
        <v>44</v>
      </c>
      <c r="D173" s="19" t="n">
        <v>76</v>
      </c>
      <c r="E173" s="19" t="s">
        <v>18</v>
      </c>
      <c r="F173" s="19" t="s">
        <v>55</v>
      </c>
      <c r="G173" s="19" t="n">
        <v>8</v>
      </c>
      <c r="H173" s="19" t="n">
        <v>0</v>
      </c>
      <c r="I173" s="19" t="n">
        <v>1</v>
      </c>
      <c r="J173" s="19" t="n">
        <v>0</v>
      </c>
      <c r="K173" s="19" t="s">
        <v>538</v>
      </c>
      <c r="L173" s="21" t="n">
        <v>46272</v>
      </c>
      <c r="M173" s="19" t="s">
        <v>47</v>
      </c>
      <c r="N173" s="22" t="n">
        <f aca="false">MIN(10,H173+I173+2*J173+IF(C173="Female",1,0)+IF(G173&gt;=7,2,IF(G173&gt;=5,1,0))+IF(F173="Tent",1,0))</f>
        <v>3</v>
      </c>
      <c r="O173" s="19" t="str">
        <f aca="false">IF(N173&gt;=6,"High",IF(N173&gt;=3,"Medium","Low"))</f>
        <v>Medium</v>
      </c>
    </row>
    <row r="174" customFormat="false" ht="15" hidden="false" customHeight="false" outlineLevel="0" collapsed="false">
      <c r="A174" s="19" t="s">
        <v>539</v>
      </c>
      <c r="B174" s="20" t="s">
        <v>540</v>
      </c>
      <c r="C174" s="19" t="s">
        <v>44</v>
      </c>
      <c r="D174" s="19" t="n">
        <v>30</v>
      </c>
      <c r="E174" s="19" t="s">
        <v>16</v>
      </c>
      <c r="F174" s="19" t="s">
        <v>45</v>
      </c>
      <c r="G174" s="19" t="n">
        <v>4</v>
      </c>
      <c r="H174" s="19" t="n">
        <v>2</v>
      </c>
      <c r="I174" s="19" t="n">
        <v>0</v>
      </c>
      <c r="J174" s="19" t="n">
        <v>0</v>
      </c>
      <c r="K174" s="19" t="s">
        <v>541</v>
      </c>
      <c r="L174" s="21" t="n">
        <v>46268</v>
      </c>
      <c r="M174" s="19" t="s">
        <v>47</v>
      </c>
      <c r="N174" s="22" t="n">
        <f aca="false">MIN(10,H174+I174+2*J174+IF(C174="Female",1,0)+IF(G174&gt;=7,2,IF(G174&gt;=5,1,0))+IF(F174="Tent",1,0))</f>
        <v>3</v>
      </c>
      <c r="O174" s="19" t="str">
        <f aca="false">IF(N174&gt;=6,"High",IF(N174&gt;=3,"Medium","Low"))</f>
        <v>Medium</v>
      </c>
    </row>
    <row r="175" customFormat="false" ht="15" hidden="false" customHeight="false" outlineLevel="0" collapsed="false">
      <c r="A175" s="19" t="s">
        <v>542</v>
      </c>
      <c r="B175" s="20" t="s">
        <v>479</v>
      </c>
      <c r="C175" s="19" t="s">
        <v>54</v>
      </c>
      <c r="D175" s="19" t="n">
        <v>43</v>
      </c>
      <c r="E175" s="19" t="s">
        <v>15</v>
      </c>
      <c r="F175" s="19" t="s">
        <v>50</v>
      </c>
      <c r="G175" s="19" t="n">
        <v>10</v>
      </c>
      <c r="H175" s="19" t="n">
        <v>0</v>
      </c>
      <c r="I175" s="19" t="n">
        <v>0</v>
      </c>
      <c r="J175" s="19" t="n">
        <v>0</v>
      </c>
      <c r="K175" s="19" t="s">
        <v>543</v>
      </c>
      <c r="L175" s="21" t="n">
        <v>46287</v>
      </c>
      <c r="M175" s="19" t="s">
        <v>80</v>
      </c>
      <c r="N175" s="22" t="n">
        <f aca="false">MIN(10,H175+I175+2*J175+IF(C175="Female",1,0)+IF(G175&gt;=7,2,IF(G175&gt;=5,1,0))+IF(F175="Tent",1,0))</f>
        <v>3</v>
      </c>
      <c r="O175" s="19" t="str">
        <f aca="false">IF(N175&gt;=6,"High",IF(N175&gt;=3,"Medium","Low"))</f>
        <v>Medium</v>
      </c>
    </row>
    <row r="176" customFormat="false" ht="15" hidden="false" customHeight="false" outlineLevel="0" collapsed="false">
      <c r="A176" s="19" t="s">
        <v>544</v>
      </c>
      <c r="B176" s="20" t="s">
        <v>545</v>
      </c>
      <c r="C176" s="19" t="s">
        <v>54</v>
      </c>
      <c r="D176" s="19" t="n">
        <v>20</v>
      </c>
      <c r="E176" s="19" t="s">
        <v>16</v>
      </c>
      <c r="F176" s="19" t="s">
        <v>50</v>
      </c>
      <c r="G176" s="19" t="n">
        <v>2</v>
      </c>
      <c r="H176" s="19" t="n">
        <v>1</v>
      </c>
      <c r="I176" s="19" t="n">
        <v>1</v>
      </c>
      <c r="J176" s="19" t="n">
        <v>0</v>
      </c>
      <c r="K176" s="19" t="s">
        <v>546</v>
      </c>
      <c r="L176" s="21" t="n">
        <v>46286</v>
      </c>
      <c r="M176" s="19" t="s">
        <v>47</v>
      </c>
      <c r="N176" s="22" t="n">
        <f aca="false">MIN(10,H176+I176+2*J176+IF(C176="Female",1,0)+IF(G176&gt;=7,2,IF(G176&gt;=5,1,0))+IF(F176="Tent",1,0))</f>
        <v>3</v>
      </c>
      <c r="O176" s="19" t="str">
        <f aca="false">IF(N176&gt;=6,"High",IF(N176&gt;=3,"Medium","Low"))</f>
        <v>Medium</v>
      </c>
    </row>
    <row r="177" customFormat="false" ht="15" hidden="false" customHeight="false" outlineLevel="0" collapsed="false">
      <c r="A177" s="19" t="s">
        <v>547</v>
      </c>
      <c r="B177" s="20" t="s">
        <v>548</v>
      </c>
      <c r="C177" s="19" t="s">
        <v>54</v>
      </c>
      <c r="D177" s="19" t="n">
        <v>64</v>
      </c>
      <c r="E177" s="19" t="s">
        <v>14</v>
      </c>
      <c r="F177" s="19" t="s">
        <v>45</v>
      </c>
      <c r="G177" s="19" t="n">
        <v>5</v>
      </c>
      <c r="H177" s="19" t="n">
        <v>1</v>
      </c>
      <c r="I177" s="19" t="n">
        <v>0</v>
      </c>
      <c r="J177" s="19" t="n">
        <v>0</v>
      </c>
      <c r="K177" s="19" t="s">
        <v>549</v>
      </c>
      <c r="L177" s="21" t="n">
        <v>46281</v>
      </c>
      <c r="M177" s="19" t="s">
        <v>47</v>
      </c>
      <c r="N177" s="22" t="n">
        <f aca="false">MIN(10,H177+I177+2*J177+IF(C177="Female",1,0)+IF(G177&gt;=7,2,IF(G177&gt;=5,1,0))+IF(F177="Tent",1,0))</f>
        <v>4</v>
      </c>
      <c r="O177" s="19" t="str">
        <f aca="false">IF(N177&gt;=6,"High",IF(N177&gt;=3,"Medium","Low"))</f>
        <v>Medium</v>
      </c>
    </row>
    <row r="178" customFormat="false" ht="15" hidden="false" customHeight="false" outlineLevel="0" collapsed="false">
      <c r="A178" s="19" t="s">
        <v>550</v>
      </c>
      <c r="B178" s="20" t="s">
        <v>551</v>
      </c>
      <c r="C178" s="19" t="s">
        <v>44</v>
      </c>
      <c r="D178" s="19" t="n">
        <v>27</v>
      </c>
      <c r="E178" s="19" t="s">
        <v>14</v>
      </c>
      <c r="F178" s="19" t="s">
        <v>45</v>
      </c>
      <c r="G178" s="19" t="n">
        <v>5</v>
      </c>
      <c r="H178" s="19" t="n">
        <v>0</v>
      </c>
      <c r="I178" s="19" t="n">
        <v>0</v>
      </c>
      <c r="J178" s="19" t="n">
        <v>0</v>
      </c>
      <c r="K178" s="19" t="s">
        <v>552</v>
      </c>
      <c r="L178" s="21" t="n">
        <v>46272</v>
      </c>
      <c r="M178" s="19" t="s">
        <v>47</v>
      </c>
      <c r="N178" s="22" t="n">
        <f aca="false">MIN(10,H178+I178+2*J178+IF(C178="Female",1,0)+IF(G178&gt;=7,2,IF(G178&gt;=5,1,0))+IF(F178="Tent",1,0))</f>
        <v>2</v>
      </c>
      <c r="O178" s="19" t="str">
        <f aca="false">IF(N178&gt;=6,"High",IF(N178&gt;=3,"Medium","Low"))</f>
        <v>Low</v>
      </c>
    </row>
    <row r="179" customFormat="false" ht="15" hidden="false" customHeight="false" outlineLevel="0" collapsed="false">
      <c r="A179" s="19" t="s">
        <v>553</v>
      </c>
      <c r="B179" s="20" t="s">
        <v>554</v>
      </c>
      <c r="C179" s="19" t="s">
        <v>44</v>
      </c>
      <c r="D179" s="19" t="n">
        <v>19</v>
      </c>
      <c r="E179" s="19" t="s">
        <v>16</v>
      </c>
      <c r="F179" s="19" t="s">
        <v>45</v>
      </c>
      <c r="G179" s="19" t="n">
        <v>1</v>
      </c>
      <c r="H179" s="19" t="n">
        <v>0</v>
      </c>
      <c r="I179" s="19" t="n">
        <v>0</v>
      </c>
      <c r="J179" s="19" t="n">
        <v>0</v>
      </c>
      <c r="K179" s="19" t="s">
        <v>555</v>
      </c>
      <c r="L179" s="21" t="n">
        <v>46290</v>
      </c>
      <c r="M179" s="19" t="s">
        <v>80</v>
      </c>
      <c r="N179" s="22" t="n">
        <f aca="false">MIN(10,H179+I179+2*J179+IF(C179="Female",1,0)+IF(G179&gt;=7,2,IF(G179&gt;=5,1,0))+IF(F179="Tent",1,0))</f>
        <v>1</v>
      </c>
      <c r="O179" s="19" t="str">
        <f aca="false">IF(N179&gt;=6,"High",IF(N179&gt;=3,"Medium","Low"))</f>
        <v>Low</v>
      </c>
    </row>
    <row r="180" customFormat="false" ht="15" hidden="false" customHeight="false" outlineLevel="0" collapsed="false">
      <c r="A180" s="19" t="s">
        <v>556</v>
      </c>
      <c r="B180" s="20" t="s">
        <v>64</v>
      </c>
      <c r="C180" s="19" t="s">
        <v>44</v>
      </c>
      <c r="D180" s="19" t="n">
        <v>23</v>
      </c>
      <c r="E180" s="19" t="s">
        <v>15</v>
      </c>
      <c r="F180" s="19" t="s">
        <v>45</v>
      </c>
      <c r="G180" s="19" t="n">
        <v>6</v>
      </c>
      <c r="H180" s="19" t="n">
        <v>0</v>
      </c>
      <c r="I180" s="19" t="n">
        <v>0</v>
      </c>
      <c r="J180" s="19" t="n">
        <v>0</v>
      </c>
      <c r="K180" s="19" t="s">
        <v>557</v>
      </c>
      <c r="L180" s="21" t="n">
        <v>46275</v>
      </c>
      <c r="M180" s="19" t="s">
        <v>47</v>
      </c>
      <c r="N180" s="22" t="n">
        <f aca="false">MIN(10,H180+I180+2*J180+IF(C180="Female",1,0)+IF(G180&gt;=7,2,IF(G180&gt;=5,1,0))+IF(F180="Tent",1,0))</f>
        <v>2</v>
      </c>
      <c r="O180" s="19" t="str">
        <f aca="false">IF(N180&gt;=6,"High",IF(N180&gt;=3,"Medium","Low"))</f>
        <v>Low</v>
      </c>
    </row>
    <row r="181" customFormat="false" ht="15" hidden="false" customHeight="false" outlineLevel="0" collapsed="false">
      <c r="A181" s="19" t="s">
        <v>558</v>
      </c>
      <c r="B181" s="20" t="s">
        <v>559</v>
      </c>
      <c r="C181" s="19" t="s">
        <v>44</v>
      </c>
      <c r="D181" s="19" t="n">
        <v>38</v>
      </c>
      <c r="E181" s="19" t="s">
        <v>14</v>
      </c>
      <c r="F181" s="19" t="s">
        <v>55</v>
      </c>
      <c r="G181" s="19" t="n">
        <v>4</v>
      </c>
      <c r="H181" s="19" t="n">
        <v>0</v>
      </c>
      <c r="I181" s="19" t="n">
        <v>0</v>
      </c>
      <c r="J181" s="19" t="n">
        <v>0</v>
      </c>
      <c r="K181" s="19" t="s">
        <v>560</v>
      </c>
      <c r="L181" s="21" t="n">
        <v>46274</v>
      </c>
      <c r="M181" s="19" t="s">
        <v>47</v>
      </c>
      <c r="N181" s="22" t="n">
        <f aca="false">MIN(10,H181+I181+2*J181+IF(C181="Female",1,0)+IF(G181&gt;=7,2,IF(G181&gt;=5,1,0))+IF(F181="Tent",1,0))</f>
        <v>0</v>
      </c>
      <c r="O181" s="19" t="str">
        <f aca="false">IF(N181&gt;=6,"High",IF(N181&gt;=3,"Medium","Low"))</f>
        <v>Low</v>
      </c>
    </row>
    <row r="182" customFormat="false" ht="15" hidden="false" customHeight="false" outlineLevel="0" collapsed="false">
      <c r="A182" s="19" t="s">
        <v>561</v>
      </c>
      <c r="B182" s="20" t="s">
        <v>562</v>
      </c>
      <c r="C182" s="19" t="s">
        <v>44</v>
      </c>
      <c r="D182" s="19" t="n">
        <v>63</v>
      </c>
      <c r="E182" s="19" t="s">
        <v>15</v>
      </c>
      <c r="F182" s="19" t="s">
        <v>72</v>
      </c>
      <c r="G182" s="19" t="n">
        <v>5</v>
      </c>
      <c r="H182" s="19" t="n">
        <v>2</v>
      </c>
      <c r="I182" s="19" t="n">
        <v>1</v>
      </c>
      <c r="J182" s="19" t="n">
        <v>2</v>
      </c>
      <c r="K182" s="19" t="s">
        <v>563</v>
      </c>
      <c r="L182" s="21" t="n">
        <v>46304</v>
      </c>
      <c r="M182" s="19" t="s">
        <v>47</v>
      </c>
      <c r="N182" s="22" t="n">
        <f aca="false">MIN(10,H182+I182+2*J182+IF(C182="Female",1,0)+IF(G182&gt;=7,2,IF(G182&gt;=5,1,0))+IF(F182="Tent",1,0))</f>
        <v>8</v>
      </c>
      <c r="O182" s="19" t="str">
        <f aca="false">IF(N182&gt;=6,"High",IF(N182&gt;=3,"Medium","Low"))</f>
        <v>High</v>
      </c>
    </row>
    <row r="183" customFormat="false" ht="15" hidden="false" customHeight="false" outlineLevel="0" collapsed="false">
      <c r="A183" s="19" t="s">
        <v>564</v>
      </c>
      <c r="B183" s="20" t="s">
        <v>565</v>
      </c>
      <c r="C183" s="19" t="s">
        <v>44</v>
      </c>
      <c r="D183" s="19" t="n">
        <v>42</v>
      </c>
      <c r="E183" s="19" t="s">
        <v>14</v>
      </c>
      <c r="F183" s="19" t="s">
        <v>55</v>
      </c>
      <c r="G183" s="19" t="n">
        <v>8</v>
      </c>
      <c r="H183" s="19" t="n">
        <v>1</v>
      </c>
      <c r="I183" s="19" t="n">
        <v>2</v>
      </c>
      <c r="J183" s="19" t="n">
        <v>0</v>
      </c>
      <c r="K183" s="19" t="s">
        <v>566</v>
      </c>
      <c r="L183" s="21" t="n">
        <v>46291</v>
      </c>
      <c r="M183" s="19" t="s">
        <v>47</v>
      </c>
      <c r="N183" s="22" t="n">
        <f aca="false">MIN(10,H183+I183+2*J183+IF(C183="Female",1,0)+IF(G183&gt;=7,2,IF(G183&gt;=5,1,0))+IF(F183="Tent",1,0))</f>
        <v>5</v>
      </c>
      <c r="O183" s="19" t="str">
        <f aca="false">IF(N183&gt;=6,"High",IF(N183&gt;=3,"Medium","Low"))</f>
        <v>Medium</v>
      </c>
    </row>
    <row r="184" customFormat="false" ht="15" hidden="false" customHeight="false" outlineLevel="0" collapsed="false">
      <c r="A184" s="19" t="s">
        <v>567</v>
      </c>
      <c r="B184" s="20" t="s">
        <v>568</v>
      </c>
      <c r="C184" s="19" t="s">
        <v>44</v>
      </c>
      <c r="D184" s="19" t="n">
        <v>72</v>
      </c>
      <c r="E184" s="19" t="s">
        <v>14</v>
      </c>
      <c r="F184" s="19" t="s">
        <v>50</v>
      </c>
      <c r="G184" s="19" t="n">
        <v>1</v>
      </c>
      <c r="H184" s="19" t="n">
        <v>0</v>
      </c>
      <c r="I184" s="19" t="n">
        <v>1</v>
      </c>
      <c r="J184" s="19" t="n">
        <v>1</v>
      </c>
      <c r="K184" s="19" t="s">
        <v>569</v>
      </c>
      <c r="L184" s="21" t="n">
        <v>46284</v>
      </c>
      <c r="M184" s="19" t="s">
        <v>80</v>
      </c>
      <c r="N184" s="22" t="n">
        <f aca="false">MIN(10,H184+I184+2*J184+IF(C184="Female",1,0)+IF(G184&gt;=7,2,IF(G184&gt;=5,1,0))+IF(F184="Tent",1,0))</f>
        <v>3</v>
      </c>
      <c r="O184" s="19" t="str">
        <f aca="false">IF(N184&gt;=6,"High",IF(N184&gt;=3,"Medium","Low"))</f>
        <v>Medium</v>
      </c>
    </row>
    <row r="185" customFormat="false" ht="15" hidden="false" customHeight="false" outlineLevel="0" collapsed="false">
      <c r="A185" s="19" t="s">
        <v>570</v>
      </c>
      <c r="B185" s="20" t="s">
        <v>377</v>
      </c>
      <c r="C185" s="19" t="s">
        <v>44</v>
      </c>
      <c r="D185" s="19" t="n">
        <v>49</v>
      </c>
      <c r="E185" s="19" t="s">
        <v>18</v>
      </c>
      <c r="F185" s="19" t="s">
        <v>45</v>
      </c>
      <c r="G185" s="19" t="n">
        <v>7</v>
      </c>
      <c r="H185" s="19" t="n">
        <v>0</v>
      </c>
      <c r="I185" s="19" t="n">
        <v>0</v>
      </c>
      <c r="J185" s="19" t="n">
        <v>0</v>
      </c>
      <c r="K185" s="19" t="s">
        <v>571</v>
      </c>
      <c r="L185" s="21" t="n">
        <v>46304</v>
      </c>
      <c r="M185" s="19" t="s">
        <v>47</v>
      </c>
      <c r="N185" s="22" t="n">
        <f aca="false">MIN(10,H185+I185+2*J185+IF(C185="Female",1,0)+IF(G185&gt;=7,2,IF(G185&gt;=5,1,0))+IF(F185="Tent",1,0))</f>
        <v>3</v>
      </c>
      <c r="O185" s="19" t="str">
        <f aca="false">IF(N185&gt;=6,"High",IF(N185&gt;=3,"Medium","Low"))</f>
        <v>Medium</v>
      </c>
    </row>
    <row r="186" customFormat="false" ht="15" hidden="false" customHeight="false" outlineLevel="0" collapsed="false">
      <c r="A186" s="19" t="s">
        <v>572</v>
      </c>
      <c r="B186" s="20" t="s">
        <v>573</v>
      </c>
      <c r="C186" s="19" t="s">
        <v>44</v>
      </c>
      <c r="D186" s="19" t="n">
        <v>68</v>
      </c>
      <c r="E186" s="19" t="s">
        <v>15</v>
      </c>
      <c r="F186" s="19" t="s">
        <v>50</v>
      </c>
      <c r="G186" s="19" t="n">
        <v>2</v>
      </c>
      <c r="H186" s="19" t="n">
        <v>1</v>
      </c>
      <c r="I186" s="19" t="n">
        <v>1</v>
      </c>
      <c r="J186" s="19" t="n">
        <v>0</v>
      </c>
      <c r="K186" s="19" t="s">
        <v>574</v>
      </c>
      <c r="L186" s="21" t="n">
        <v>46272</v>
      </c>
      <c r="M186" s="19" t="s">
        <v>47</v>
      </c>
      <c r="N186" s="22" t="n">
        <f aca="false">MIN(10,H186+I186+2*J186+IF(C186="Female",1,0)+IF(G186&gt;=7,2,IF(G186&gt;=5,1,0))+IF(F186="Tent",1,0))</f>
        <v>2</v>
      </c>
      <c r="O186" s="19" t="str">
        <f aca="false">IF(N186&gt;=6,"High",IF(N186&gt;=3,"Medium","Low"))</f>
        <v>Low</v>
      </c>
    </row>
    <row r="187" customFormat="false" ht="15" hidden="false" customHeight="false" outlineLevel="0" collapsed="false">
      <c r="A187" s="19" t="s">
        <v>575</v>
      </c>
      <c r="B187" s="20" t="s">
        <v>576</v>
      </c>
      <c r="C187" s="19" t="s">
        <v>44</v>
      </c>
      <c r="D187" s="19" t="n">
        <v>35</v>
      </c>
      <c r="E187" s="19" t="s">
        <v>15</v>
      </c>
      <c r="F187" s="19" t="s">
        <v>72</v>
      </c>
      <c r="G187" s="19" t="n">
        <v>11</v>
      </c>
      <c r="H187" s="19" t="n">
        <v>1</v>
      </c>
      <c r="I187" s="19" t="n">
        <v>0</v>
      </c>
      <c r="J187" s="19" t="n">
        <v>0</v>
      </c>
      <c r="K187" s="19" t="s">
        <v>577</v>
      </c>
      <c r="L187" s="21" t="n">
        <v>46272</v>
      </c>
      <c r="M187" s="19" t="s">
        <v>47</v>
      </c>
      <c r="N187" s="22" t="n">
        <f aca="false">MIN(10,H187+I187+2*J187+IF(C187="Female",1,0)+IF(G187&gt;=7,2,IF(G187&gt;=5,1,0))+IF(F187="Tent",1,0))</f>
        <v>3</v>
      </c>
      <c r="O187" s="19" t="str">
        <f aca="false">IF(N187&gt;=6,"High",IF(N187&gt;=3,"Medium","Low"))</f>
        <v>Medium</v>
      </c>
    </row>
    <row r="188" customFormat="false" ht="15" hidden="false" customHeight="false" outlineLevel="0" collapsed="false">
      <c r="A188" s="19" t="s">
        <v>578</v>
      </c>
      <c r="B188" s="20" t="s">
        <v>522</v>
      </c>
      <c r="C188" s="19" t="s">
        <v>44</v>
      </c>
      <c r="D188" s="19" t="n">
        <v>49</v>
      </c>
      <c r="E188" s="19" t="s">
        <v>14</v>
      </c>
      <c r="F188" s="19" t="s">
        <v>45</v>
      </c>
      <c r="G188" s="19" t="n">
        <v>6</v>
      </c>
      <c r="H188" s="19" t="n">
        <v>0</v>
      </c>
      <c r="I188" s="19" t="n">
        <v>1</v>
      </c>
      <c r="J188" s="19" t="n">
        <v>0</v>
      </c>
      <c r="K188" s="19" t="s">
        <v>579</v>
      </c>
      <c r="L188" s="21" t="n">
        <v>46267</v>
      </c>
      <c r="M188" s="19" t="s">
        <v>66</v>
      </c>
      <c r="N188" s="22" t="n">
        <f aca="false">MIN(10,H188+I188+2*J188+IF(C188="Female",1,0)+IF(G188&gt;=7,2,IF(G188&gt;=5,1,0))+IF(F188="Tent",1,0))</f>
        <v>3</v>
      </c>
      <c r="O188" s="19" t="str">
        <f aca="false">IF(N188&gt;=6,"High",IF(N188&gt;=3,"Medium","Low"))</f>
        <v>Medium</v>
      </c>
    </row>
    <row r="189" customFormat="false" ht="15" hidden="false" customHeight="false" outlineLevel="0" collapsed="false">
      <c r="A189" s="19" t="s">
        <v>580</v>
      </c>
      <c r="B189" s="20" t="s">
        <v>250</v>
      </c>
      <c r="C189" s="19" t="s">
        <v>54</v>
      </c>
      <c r="D189" s="19" t="n">
        <v>65</v>
      </c>
      <c r="E189" s="19" t="s">
        <v>17</v>
      </c>
      <c r="F189" s="19" t="s">
        <v>45</v>
      </c>
      <c r="G189" s="19" t="n">
        <v>5</v>
      </c>
      <c r="H189" s="19" t="n">
        <v>0</v>
      </c>
      <c r="I189" s="19" t="n">
        <v>1</v>
      </c>
      <c r="J189" s="19" t="n">
        <v>0</v>
      </c>
      <c r="K189" s="19" t="s">
        <v>581</v>
      </c>
      <c r="L189" s="21" t="n">
        <v>46294</v>
      </c>
      <c r="M189" s="19" t="s">
        <v>47</v>
      </c>
      <c r="N189" s="22" t="n">
        <f aca="false">MIN(10,H189+I189+2*J189+IF(C189="Female",1,0)+IF(G189&gt;=7,2,IF(G189&gt;=5,1,0))+IF(F189="Tent",1,0))</f>
        <v>4</v>
      </c>
      <c r="O189" s="19" t="str">
        <f aca="false">IF(N189&gt;=6,"High",IF(N189&gt;=3,"Medium","Low"))</f>
        <v>Medium</v>
      </c>
    </row>
    <row r="190" customFormat="false" ht="15" hidden="false" customHeight="false" outlineLevel="0" collapsed="false">
      <c r="A190" s="19" t="s">
        <v>582</v>
      </c>
      <c r="B190" s="20" t="s">
        <v>583</v>
      </c>
      <c r="C190" s="19" t="s">
        <v>44</v>
      </c>
      <c r="D190" s="19" t="n">
        <v>29</v>
      </c>
      <c r="E190" s="19" t="s">
        <v>16</v>
      </c>
      <c r="F190" s="19" t="s">
        <v>72</v>
      </c>
      <c r="G190" s="19" t="n">
        <v>9</v>
      </c>
      <c r="H190" s="19" t="n">
        <v>1</v>
      </c>
      <c r="I190" s="19" t="n">
        <v>0</v>
      </c>
      <c r="J190" s="19" t="n">
        <v>0</v>
      </c>
      <c r="K190" s="19" t="s">
        <v>584</v>
      </c>
      <c r="L190" s="21" t="n">
        <v>46301</v>
      </c>
      <c r="M190" s="19" t="s">
        <v>66</v>
      </c>
      <c r="N190" s="22" t="n">
        <f aca="false">MIN(10,H190+I190+2*J190+IF(C190="Female",1,0)+IF(G190&gt;=7,2,IF(G190&gt;=5,1,0))+IF(F190="Tent",1,0))</f>
        <v>3</v>
      </c>
      <c r="O190" s="19" t="str">
        <f aca="false">IF(N190&gt;=6,"High",IF(N190&gt;=3,"Medium","Low"))</f>
        <v>Medium</v>
      </c>
    </row>
    <row r="191" customFormat="false" ht="15" hidden="false" customHeight="false" outlineLevel="0" collapsed="false">
      <c r="A191" s="19" t="s">
        <v>585</v>
      </c>
      <c r="B191" s="20" t="s">
        <v>586</v>
      </c>
      <c r="C191" s="19" t="s">
        <v>54</v>
      </c>
      <c r="D191" s="19" t="n">
        <v>43</v>
      </c>
      <c r="E191" s="19" t="s">
        <v>14</v>
      </c>
      <c r="F191" s="19" t="s">
        <v>50</v>
      </c>
      <c r="G191" s="19" t="n">
        <v>4</v>
      </c>
      <c r="H191" s="19" t="n">
        <v>1</v>
      </c>
      <c r="I191" s="19" t="n">
        <v>0</v>
      </c>
      <c r="J191" s="19" t="n">
        <v>0</v>
      </c>
      <c r="K191" s="19" t="s">
        <v>587</v>
      </c>
      <c r="L191" s="21" t="n">
        <v>46293</v>
      </c>
      <c r="M191" s="19" t="s">
        <v>47</v>
      </c>
      <c r="N191" s="22" t="n">
        <f aca="false">MIN(10,H191+I191+2*J191+IF(C191="Female",1,0)+IF(G191&gt;=7,2,IF(G191&gt;=5,1,0))+IF(F191="Tent",1,0))</f>
        <v>2</v>
      </c>
      <c r="O191" s="19" t="str">
        <f aca="false">IF(N191&gt;=6,"High",IF(N191&gt;=3,"Medium","Low"))</f>
        <v>Low</v>
      </c>
    </row>
    <row r="192" customFormat="false" ht="15" hidden="false" customHeight="false" outlineLevel="0" collapsed="false">
      <c r="A192" s="19" t="s">
        <v>588</v>
      </c>
      <c r="B192" s="20" t="s">
        <v>589</v>
      </c>
      <c r="C192" s="19" t="s">
        <v>44</v>
      </c>
      <c r="D192" s="19" t="n">
        <v>52</v>
      </c>
      <c r="E192" s="19" t="s">
        <v>16</v>
      </c>
      <c r="F192" s="19" t="s">
        <v>72</v>
      </c>
      <c r="G192" s="19" t="n">
        <v>3</v>
      </c>
      <c r="H192" s="19" t="n">
        <v>2</v>
      </c>
      <c r="I192" s="19" t="n">
        <v>0</v>
      </c>
      <c r="J192" s="19" t="n">
        <v>0</v>
      </c>
      <c r="K192" s="19" t="s">
        <v>590</v>
      </c>
      <c r="L192" s="21" t="n">
        <v>46297</v>
      </c>
      <c r="M192" s="19" t="s">
        <v>80</v>
      </c>
      <c r="N192" s="22" t="n">
        <f aca="false">MIN(10,H192+I192+2*J192+IF(C192="Female",1,0)+IF(G192&gt;=7,2,IF(G192&gt;=5,1,0))+IF(F192="Tent",1,0))</f>
        <v>2</v>
      </c>
      <c r="O192" s="19" t="str">
        <f aca="false">IF(N192&gt;=6,"High",IF(N192&gt;=3,"Medium","Low"))</f>
        <v>Low</v>
      </c>
    </row>
    <row r="193" customFormat="false" ht="15" hidden="false" customHeight="false" outlineLevel="0" collapsed="false">
      <c r="A193" s="19" t="s">
        <v>591</v>
      </c>
      <c r="B193" s="20" t="s">
        <v>592</v>
      </c>
      <c r="C193" s="19" t="s">
        <v>44</v>
      </c>
      <c r="D193" s="19" t="n">
        <v>62</v>
      </c>
      <c r="E193" s="19" t="s">
        <v>15</v>
      </c>
      <c r="F193" s="19" t="s">
        <v>45</v>
      </c>
      <c r="G193" s="19" t="n">
        <v>9</v>
      </c>
      <c r="H193" s="19" t="n">
        <v>1</v>
      </c>
      <c r="I193" s="19" t="n">
        <v>1</v>
      </c>
      <c r="J193" s="19" t="n">
        <v>0</v>
      </c>
      <c r="K193" s="19" t="s">
        <v>593</v>
      </c>
      <c r="L193" s="21" t="n">
        <v>46271</v>
      </c>
      <c r="M193" s="19" t="s">
        <v>47</v>
      </c>
      <c r="N193" s="22" t="n">
        <f aca="false">MIN(10,H193+I193+2*J193+IF(C193="Female",1,0)+IF(G193&gt;=7,2,IF(G193&gt;=5,1,0))+IF(F193="Tent",1,0))</f>
        <v>5</v>
      </c>
      <c r="O193" s="19" t="str">
        <f aca="false">IF(N193&gt;=6,"High",IF(N193&gt;=3,"Medium","Low"))</f>
        <v>Medium</v>
      </c>
    </row>
    <row r="194" customFormat="false" ht="15" hidden="false" customHeight="false" outlineLevel="0" collapsed="false">
      <c r="A194" s="19" t="s">
        <v>594</v>
      </c>
      <c r="B194" s="20" t="s">
        <v>595</v>
      </c>
      <c r="C194" s="19" t="s">
        <v>54</v>
      </c>
      <c r="D194" s="19" t="n">
        <v>63</v>
      </c>
      <c r="E194" s="19" t="s">
        <v>15</v>
      </c>
      <c r="F194" s="19" t="s">
        <v>72</v>
      </c>
      <c r="G194" s="19" t="n">
        <v>6</v>
      </c>
      <c r="H194" s="19" t="n">
        <v>1</v>
      </c>
      <c r="I194" s="19" t="n">
        <v>0</v>
      </c>
      <c r="J194" s="19" t="n">
        <v>0</v>
      </c>
      <c r="K194" s="19" t="s">
        <v>596</v>
      </c>
      <c r="L194" s="21" t="n">
        <v>46300</v>
      </c>
      <c r="M194" s="19" t="s">
        <v>47</v>
      </c>
      <c r="N194" s="22" t="n">
        <f aca="false">MIN(10,H194+I194+2*J194+IF(C194="Female",1,0)+IF(G194&gt;=7,2,IF(G194&gt;=5,1,0))+IF(F194="Tent",1,0))</f>
        <v>3</v>
      </c>
      <c r="O194" s="19" t="str">
        <f aca="false">IF(N194&gt;=6,"High",IF(N194&gt;=3,"Medium","Low"))</f>
        <v>Medium</v>
      </c>
    </row>
    <row r="195" customFormat="false" ht="15" hidden="false" customHeight="false" outlineLevel="0" collapsed="false">
      <c r="A195" s="19" t="s">
        <v>597</v>
      </c>
      <c r="B195" s="20" t="s">
        <v>598</v>
      </c>
      <c r="C195" s="19" t="s">
        <v>54</v>
      </c>
      <c r="D195" s="19" t="n">
        <v>51</v>
      </c>
      <c r="E195" s="19" t="s">
        <v>17</v>
      </c>
      <c r="F195" s="19" t="s">
        <v>45</v>
      </c>
      <c r="G195" s="19" t="n">
        <v>7</v>
      </c>
      <c r="H195" s="19" t="n">
        <v>2</v>
      </c>
      <c r="I195" s="19" t="n">
        <v>2</v>
      </c>
      <c r="J195" s="19" t="n">
        <v>0</v>
      </c>
      <c r="K195" s="19" t="s">
        <v>599</v>
      </c>
      <c r="L195" s="21" t="n">
        <v>46301</v>
      </c>
      <c r="M195" s="19" t="s">
        <v>47</v>
      </c>
      <c r="N195" s="22" t="n">
        <f aca="false">MIN(10,H195+I195+2*J195+IF(C195="Female",1,0)+IF(G195&gt;=7,2,IF(G195&gt;=5,1,0))+IF(F195="Tent",1,0))</f>
        <v>8</v>
      </c>
      <c r="O195" s="19" t="str">
        <f aca="false">IF(N195&gt;=6,"High",IF(N195&gt;=3,"Medium","Low"))</f>
        <v>High</v>
      </c>
    </row>
    <row r="196" customFormat="false" ht="15" hidden="false" customHeight="false" outlineLevel="0" collapsed="false">
      <c r="A196" s="19" t="s">
        <v>600</v>
      </c>
      <c r="B196" s="20" t="s">
        <v>601</v>
      </c>
      <c r="C196" s="19" t="s">
        <v>44</v>
      </c>
      <c r="D196" s="19" t="n">
        <v>37</v>
      </c>
      <c r="E196" s="19" t="s">
        <v>15</v>
      </c>
      <c r="F196" s="19" t="s">
        <v>50</v>
      </c>
      <c r="G196" s="19" t="n">
        <v>3</v>
      </c>
      <c r="H196" s="19" t="n">
        <v>1</v>
      </c>
      <c r="I196" s="19" t="n">
        <v>1</v>
      </c>
      <c r="J196" s="19" t="n">
        <v>0</v>
      </c>
      <c r="K196" s="19" t="s">
        <v>602</v>
      </c>
      <c r="L196" s="21" t="n">
        <v>46300</v>
      </c>
      <c r="M196" s="19" t="s">
        <v>47</v>
      </c>
      <c r="N196" s="22" t="n">
        <f aca="false">MIN(10,H196+I196+2*J196+IF(C196="Female",1,0)+IF(G196&gt;=7,2,IF(G196&gt;=5,1,0))+IF(F196="Tent",1,0))</f>
        <v>2</v>
      </c>
      <c r="O196" s="19" t="str">
        <f aca="false">IF(N196&gt;=6,"High",IF(N196&gt;=3,"Medium","Low"))</f>
        <v>Low</v>
      </c>
    </row>
    <row r="197" customFormat="false" ht="15" hidden="false" customHeight="false" outlineLevel="0" collapsed="false">
      <c r="A197" s="19" t="s">
        <v>603</v>
      </c>
      <c r="B197" s="20" t="s">
        <v>253</v>
      </c>
      <c r="C197" s="19" t="s">
        <v>44</v>
      </c>
      <c r="D197" s="19" t="n">
        <v>67</v>
      </c>
      <c r="E197" s="19" t="s">
        <v>17</v>
      </c>
      <c r="F197" s="19" t="s">
        <v>72</v>
      </c>
      <c r="G197" s="19" t="n">
        <v>6</v>
      </c>
      <c r="H197" s="19" t="n">
        <v>1</v>
      </c>
      <c r="I197" s="19" t="n">
        <v>0</v>
      </c>
      <c r="J197" s="19" t="n">
        <v>0</v>
      </c>
      <c r="K197" s="19" t="s">
        <v>604</v>
      </c>
      <c r="L197" s="21" t="n">
        <v>46268</v>
      </c>
      <c r="M197" s="19" t="s">
        <v>66</v>
      </c>
      <c r="N197" s="22" t="n">
        <f aca="false">MIN(10,H197+I197+2*J197+IF(C197="Female",1,0)+IF(G197&gt;=7,2,IF(G197&gt;=5,1,0))+IF(F197="Tent",1,0))</f>
        <v>2</v>
      </c>
      <c r="O197" s="19" t="str">
        <f aca="false">IF(N197&gt;=6,"High",IF(N197&gt;=3,"Medium","Low"))</f>
        <v>Low</v>
      </c>
    </row>
    <row r="198" customFormat="false" ht="15" hidden="false" customHeight="false" outlineLevel="0" collapsed="false">
      <c r="A198" s="19" t="s">
        <v>605</v>
      </c>
      <c r="B198" s="20" t="s">
        <v>606</v>
      </c>
      <c r="C198" s="19" t="s">
        <v>54</v>
      </c>
      <c r="D198" s="19" t="n">
        <v>68</v>
      </c>
      <c r="E198" s="19" t="s">
        <v>15</v>
      </c>
      <c r="F198" s="19" t="s">
        <v>45</v>
      </c>
      <c r="G198" s="19" t="n">
        <v>4</v>
      </c>
      <c r="H198" s="19" t="n">
        <v>3</v>
      </c>
      <c r="I198" s="19" t="n">
        <v>0</v>
      </c>
      <c r="J198" s="19" t="n">
        <v>0</v>
      </c>
      <c r="K198" s="19" t="s">
        <v>607</v>
      </c>
      <c r="L198" s="21" t="n">
        <v>46273</v>
      </c>
      <c r="M198" s="19" t="s">
        <v>80</v>
      </c>
      <c r="N198" s="22" t="n">
        <f aca="false">MIN(10,H198+I198+2*J198+IF(C198="Female",1,0)+IF(G198&gt;=7,2,IF(G198&gt;=5,1,0))+IF(F198="Tent",1,0))</f>
        <v>5</v>
      </c>
      <c r="O198" s="19" t="str">
        <f aca="false">IF(N198&gt;=6,"High",IF(N198&gt;=3,"Medium","Low"))</f>
        <v>Medium</v>
      </c>
    </row>
    <row r="199" customFormat="false" ht="15" hidden="false" customHeight="false" outlineLevel="0" collapsed="false">
      <c r="A199" s="19" t="s">
        <v>608</v>
      </c>
      <c r="B199" s="20" t="s">
        <v>609</v>
      </c>
      <c r="C199" s="19" t="s">
        <v>44</v>
      </c>
      <c r="D199" s="19" t="n">
        <v>36</v>
      </c>
      <c r="E199" s="19" t="s">
        <v>18</v>
      </c>
      <c r="F199" s="19" t="s">
        <v>72</v>
      </c>
      <c r="G199" s="19" t="n">
        <v>3</v>
      </c>
      <c r="H199" s="19" t="n">
        <v>0</v>
      </c>
      <c r="I199" s="19" t="n">
        <v>0</v>
      </c>
      <c r="J199" s="19" t="n">
        <v>0</v>
      </c>
      <c r="K199" s="19" t="s">
        <v>610</v>
      </c>
      <c r="L199" s="21" t="n">
        <v>46300</v>
      </c>
      <c r="M199" s="19" t="s">
        <v>47</v>
      </c>
      <c r="N199" s="22" t="n">
        <f aca="false">MIN(10,H199+I199+2*J199+IF(C199="Female",1,0)+IF(G199&gt;=7,2,IF(G199&gt;=5,1,0))+IF(F199="Tent",1,0))</f>
        <v>0</v>
      </c>
      <c r="O199" s="19" t="str">
        <f aca="false">IF(N199&gt;=6,"High",IF(N199&gt;=3,"Medium","Low"))</f>
        <v>Low</v>
      </c>
    </row>
    <row r="200" customFormat="false" ht="15" hidden="false" customHeight="false" outlineLevel="0" collapsed="false">
      <c r="A200" s="19" t="s">
        <v>611</v>
      </c>
      <c r="B200" s="20" t="s">
        <v>612</v>
      </c>
      <c r="C200" s="19" t="s">
        <v>44</v>
      </c>
      <c r="D200" s="19" t="n">
        <v>77</v>
      </c>
      <c r="E200" s="19" t="s">
        <v>14</v>
      </c>
      <c r="F200" s="19" t="s">
        <v>55</v>
      </c>
      <c r="G200" s="19" t="n">
        <v>4</v>
      </c>
      <c r="H200" s="19" t="n">
        <v>2</v>
      </c>
      <c r="I200" s="19" t="n">
        <v>2</v>
      </c>
      <c r="J200" s="19" t="n">
        <v>0</v>
      </c>
      <c r="K200" s="19" t="s">
        <v>613</v>
      </c>
      <c r="L200" s="21" t="n">
        <v>46292</v>
      </c>
      <c r="M200" s="19" t="s">
        <v>80</v>
      </c>
      <c r="N200" s="22" t="n">
        <f aca="false">MIN(10,H200+I200+2*J200+IF(C200="Female",1,0)+IF(G200&gt;=7,2,IF(G200&gt;=5,1,0))+IF(F200="Tent",1,0))</f>
        <v>4</v>
      </c>
      <c r="O200" s="19" t="str">
        <f aca="false">IF(N200&gt;=6,"High",IF(N200&gt;=3,"Medium","Low"))</f>
        <v>Medium</v>
      </c>
    </row>
    <row r="201" customFormat="false" ht="15" hidden="false" customHeight="false" outlineLevel="0" collapsed="false">
      <c r="A201" s="19" t="s">
        <v>614</v>
      </c>
      <c r="B201" s="20" t="s">
        <v>250</v>
      </c>
      <c r="C201" s="19" t="s">
        <v>54</v>
      </c>
      <c r="D201" s="19" t="n">
        <v>59</v>
      </c>
      <c r="E201" s="19" t="s">
        <v>16</v>
      </c>
      <c r="F201" s="19" t="s">
        <v>50</v>
      </c>
      <c r="G201" s="19" t="n">
        <v>4</v>
      </c>
      <c r="H201" s="19" t="n">
        <v>1</v>
      </c>
      <c r="I201" s="19" t="n">
        <v>1</v>
      </c>
      <c r="J201" s="19" t="n">
        <v>0</v>
      </c>
      <c r="K201" s="19" t="s">
        <v>615</v>
      </c>
      <c r="L201" s="21" t="n">
        <v>46302</v>
      </c>
      <c r="M201" s="19" t="s">
        <v>47</v>
      </c>
      <c r="N201" s="22" t="n">
        <f aca="false">MIN(10,H201+I201+2*J201+IF(C201="Female",1,0)+IF(G201&gt;=7,2,IF(G201&gt;=5,1,0))+IF(F201="Tent",1,0))</f>
        <v>3</v>
      </c>
      <c r="O201" s="19" t="str">
        <f aca="false">IF(N201&gt;=6,"High",IF(N201&gt;=3,"Medium","Low"))</f>
        <v>Medium</v>
      </c>
    </row>
    <row r="202" customFormat="false" ht="15" hidden="false" customHeight="false" outlineLevel="0" collapsed="false">
      <c r="A202" s="19" t="s">
        <v>616</v>
      </c>
      <c r="B202" s="20" t="s">
        <v>617</v>
      </c>
      <c r="C202" s="19" t="s">
        <v>54</v>
      </c>
      <c r="D202" s="19" t="n">
        <v>19</v>
      </c>
      <c r="E202" s="19" t="s">
        <v>14</v>
      </c>
      <c r="F202" s="19" t="s">
        <v>50</v>
      </c>
      <c r="G202" s="19" t="n">
        <v>5</v>
      </c>
      <c r="H202" s="19" t="n">
        <v>1</v>
      </c>
      <c r="I202" s="19" t="n">
        <v>0</v>
      </c>
      <c r="J202" s="19" t="n">
        <v>1</v>
      </c>
      <c r="K202" s="19" t="s">
        <v>618</v>
      </c>
      <c r="L202" s="21" t="n">
        <v>46303</v>
      </c>
      <c r="M202" s="19" t="s">
        <v>47</v>
      </c>
      <c r="N202" s="22" t="n">
        <f aca="false">MIN(10,H202+I202+2*J202+IF(C202="Female",1,0)+IF(G202&gt;=7,2,IF(G202&gt;=5,1,0))+IF(F202="Tent",1,0))</f>
        <v>5</v>
      </c>
      <c r="O202" s="19" t="str">
        <f aca="false">IF(N202&gt;=6,"High",IF(N202&gt;=3,"Medium","Low"))</f>
        <v>Medium</v>
      </c>
    </row>
    <row r="203" customFormat="false" ht="15" hidden="false" customHeight="false" outlineLevel="0" collapsed="false">
      <c r="A203" s="19" t="s">
        <v>619</v>
      </c>
      <c r="B203" s="20" t="s">
        <v>330</v>
      </c>
      <c r="C203" s="19" t="s">
        <v>44</v>
      </c>
      <c r="D203" s="19" t="n">
        <v>40</v>
      </c>
      <c r="E203" s="19" t="s">
        <v>18</v>
      </c>
      <c r="F203" s="19" t="s">
        <v>72</v>
      </c>
      <c r="G203" s="19" t="n">
        <v>8</v>
      </c>
      <c r="H203" s="19" t="n">
        <v>0</v>
      </c>
      <c r="I203" s="19" t="n">
        <v>2</v>
      </c>
      <c r="J203" s="19" t="n">
        <v>1</v>
      </c>
      <c r="K203" s="19" t="s">
        <v>620</v>
      </c>
      <c r="L203" s="21" t="n">
        <v>46284</v>
      </c>
      <c r="M203" s="19" t="s">
        <v>47</v>
      </c>
      <c r="N203" s="22" t="n">
        <f aca="false">MIN(10,H203+I203+2*J203+IF(C203="Female",1,0)+IF(G203&gt;=7,2,IF(G203&gt;=5,1,0))+IF(F203="Tent",1,0))</f>
        <v>6</v>
      </c>
      <c r="O203" s="19" t="str">
        <f aca="false">IF(N203&gt;=6,"High",IF(N203&gt;=3,"Medium","Low"))</f>
        <v>High</v>
      </c>
    </row>
    <row r="204" customFormat="false" ht="15" hidden="false" customHeight="false" outlineLevel="0" collapsed="false">
      <c r="A204" s="19" t="s">
        <v>621</v>
      </c>
      <c r="B204" s="20" t="s">
        <v>622</v>
      </c>
      <c r="C204" s="19" t="s">
        <v>44</v>
      </c>
      <c r="D204" s="19" t="n">
        <v>46</v>
      </c>
      <c r="E204" s="19" t="s">
        <v>15</v>
      </c>
      <c r="F204" s="19" t="s">
        <v>55</v>
      </c>
      <c r="G204" s="19" t="n">
        <v>2</v>
      </c>
      <c r="H204" s="19" t="n">
        <v>1</v>
      </c>
      <c r="I204" s="19" t="n">
        <v>1</v>
      </c>
      <c r="J204" s="19" t="n">
        <v>0</v>
      </c>
      <c r="K204" s="19" t="s">
        <v>623</v>
      </c>
      <c r="L204" s="21" t="n">
        <v>46266</v>
      </c>
      <c r="M204" s="19" t="s">
        <v>66</v>
      </c>
      <c r="N204" s="22" t="n">
        <f aca="false">MIN(10,H204+I204+2*J204+IF(C204="Female",1,0)+IF(G204&gt;=7,2,IF(G204&gt;=5,1,0))+IF(F204="Tent",1,0))</f>
        <v>2</v>
      </c>
      <c r="O204" s="19" t="str">
        <f aca="false">IF(N204&gt;=6,"High",IF(N204&gt;=3,"Medium","Low"))</f>
        <v>Low</v>
      </c>
    </row>
    <row r="205" customFormat="false" ht="15" hidden="false" customHeight="false" outlineLevel="0" collapsed="false">
      <c r="A205" s="19" t="s">
        <v>624</v>
      </c>
      <c r="B205" s="20" t="s">
        <v>625</v>
      </c>
      <c r="C205" s="19" t="s">
        <v>44</v>
      </c>
      <c r="D205" s="19" t="n">
        <v>22</v>
      </c>
      <c r="E205" s="19" t="s">
        <v>17</v>
      </c>
      <c r="F205" s="19" t="s">
        <v>50</v>
      </c>
      <c r="G205" s="19" t="n">
        <v>9</v>
      </c>
      <c r="H205" s="19" t="n">
        <v>2</v>
      </c>
      <c r="I205" s="19" t="n">
        <v>0</v>
      </c>
      <c r="J205" s="19" t="n">
        <v>0</v>
      </c>
      <c r="K205" s="19" t="s">
        <v>626</v>
      </c>
      <c r="L205" s="21" t="n">
        <v>46276</v>
      </c>
      <c r="M205" s="19" t="s">
        <v>80</v>
      </c>
      <c r="N205" s="22" t="n">
        <f aca="false">MIN(10,H205+I205+2*J205+IF(C205="Female",1,0)+IF(G205&gt;=7,2,IF(G205&gt;=5,1,0))+IF(F205="Tent",1,0))</f>
        <v>4</v>
      </c>
      <c r="O205" s="19" t="str">
        <f aca="false">IF(N205&gt;=6,"High",IF(N205&gt;=3,"Medium","Low"))</f>
        <v>Medium</v>
      </c>
    </row>
    <row r="206" customFormat="false" ht="15" hidden="false" customHeight="false" outlineLevel="0" collapsed="false">
      <c r="A206" s="19" t="s">
        <v>627</v>
      </c>
      <c r="B206" s="20" t="s">
        <v>628</v>
      </c>
      <c r="C206" s="19" t="s">
        <v>44</v>
      </c>
      <c r="D206" s="19" t="n">
        <v>19</v>
      </c>
      <c r="E206" s="19" t="s">
        <v>14</v>
      </c>
      <c r="F206" s="19" t="s">
        <v>50</v>
      </c>
      <c r="G206" s="19" t="n">
        <v>8</v>
      </c>
      <c r="H206" s="19" t="n">
        <v>0</v>
      </c>
      <c r="I206" s="19" t="n">
        <v>0</v>
      </c>
      <c r="J206" s="19" t="n">
        <v>0</v>
      </c>
      <c r="K206" s="19" t="s">
        <v>629</v>
      </c>
      <c r="L206" s="21" t="n">
        <v>46294</v>
      </c>
      <c r="M206" s="19" t="s">
        <v>80</v>
      </c>
      <c r="N206" s="22" t="n">
        <f aca="false">MIN(10,H206+I206+2*J206+IF(C206="Female",1,0)+IF(G206&gt;=7,2,IF(G206&gt;=5,1,0))+IF(F206="Tent",1,0))</f>
        <v>2</v>
      </c>
      <c r="O206" s="19" t="str">
        <f aca="false">IF(N206&gt;=6,"High",IF(N206&gt;=3,"Medium","Low"))</f>
        <v>Low</v>
      </c>
    </row>
    <row r="207" customFormat="false" ht="15" hidden="false" customHeight="false" outlineLevel="0" collapsed="false">
      <c r="A207" s="19" t="s">
        <v>630</v>
      </c>
      <c r="B207" s="20" t="s">
        <v>631</v>
      </c>
      <c r="C207" s="19" t="s">
        <v>44</v>
      </c>
      <c r="D207" s="19" t="n">
        <v>27</v>
      </c>
      <c r="E207" s="19" t="s">
        <v>17</v>
      </c>
      <c r="F207" s="19" t="s">
        <v>50</v>
      </c>
      <c r="G207" s="19" t="n">
        <v>6</v>
      </c>
      <c r="H207" s="19" t="n">
        <v>0</v>
      </c>
      <c r="I207" s="19" t="n">
        <v>0</v>
      </c>
      <c r="J207" s="19" t="n">
        <v>0</v>
      </c>
      <c r="K207" s="19" t="s">
        <v>632</v>
      </c>
      <c r="L207" s="21" t="n">
        <v>46285</v>
      </c>
      <c r="M207" s="19" t="s">
        <v>80</v>
      </c>
      <c r="N207" s="22" t="n">
        <f aca="false">MIN(10,H207+I207+2*J207+IF(C207="Female",1,0)+IF(G207&gt;=7,2,IF(G207&gt;=5,1,0))+IF(F207="Tent",1,0))</f>
        <v>1</v>
      </c>
      <c r="O207" s="19" t="str">
        <f aca="false">IF(N207&gt;=6,"High",IF(N207&gt;=3,"Medium","Low"))</f>
        <v>Low</v>
      </c>
    </row>
    <row r="208" customFormat="false" ht="15" hidden="false" customHeight="false" outlineLevel="0" collapsed="false">
      <c r="A208" s="19" t="s">
        <v>633</v>
      </c>
      <c r="B208" s="20" t="s">
        <v>634</v>
      </c>
      <c r="C208" s="19" t="s">
        <v>54</v>
      </c>
      <c r="D208" s="19" t="n">
        <v>77</v>
      </c>
      <c r="E208" s="19" t="s">
        <v>17</v>
      </c>
      <c r="F208" s="19" t="s">
        <v>50</v>
      </c>
      <c r="G208" s="19" t="n">
        <v>2</v>
      </c>
      <c r="H208" s="19" t="n">
        <v>1</v>
      </c>
      <c r="I208" s="19" t="n">
        <v>0</v>
      </c>
      <c r="J208" s="19" t="n">
        <v>0</v>
      </c>
      <c r="K208" s="19" t="s">
        <v>635</v>
      </c>
      <c r="L208" s="21" t="n">
        <v>46275</v>
      </c>
      <c r="M208" s="19" t="s">
        <v>47</v>
      </c>
      <c r="N208" s="22" t="n">
        <f aca="false">MIN(10,H208+I208+2*J208+IF(C208="Female",1,0)+IF(G208&gt;=7,2,IF(G208&gt;=5,1,0))+IF(F208="Tent",1,0))</f>
        <v>2</v>
      </c>
      <c r="O208" s="19" t="str">
        <f aca="false">IF(N208&gt;=6,"High",IF(N208&gt;=3,"Medium","Low"))</f>
        <v>Low</v>
      </c>
    </row>
    <row r="209" customFormat="false" ht="15" hidden="false" customHeight="false" outlineLevel="0" collapsed="false">
      <c r="A209" s="19" t="s">
        <v>636</v>
      </c>
      <c r="B209" s="20" t="s">
        <v>502</v>
      </c>
      <c r="C209" s="19" t="s">
        <v>54</v>
      </c>
      <c r="D209" s="19" t="n">
        <v>34</v>
      </c>
      <c r="E209" s="19" t="s">
        <v>16</v>
      </c>
      <c r="F209" s="19" t="s">
        <v>50</v>
      </c>
      <c r="G209" s="19" t="n">
        <v>3</v>
      </c>
      <c r="H209" s="19" t="n">
        <v>0</v>
      </c>
      <c r="I209" s="19" t="n">
        <v>1</v>
      </c>
      <c r="J209" s="19" t="n">
        <v>0</v>
      </c>
      <c r="K209" s="19" t="s">
        <v>637</v>
      </c>
      <c r="L209" s="21" t="n">
        <v>46274</v>
      </c>
      <c r="M209" s="19" t="s">
        <v>47</v>
      </c>
      <c r="N209" s="22" t="n">
        <f aca="false">MIN(10,H209+I209+2*J209+IF(C209="Female",1,0)+IF(G209&gt;=7,2,IF(G209&gt;=5,1,0))+IF(F209="Tent",1,0))</f>
        <v>2</v>
      </c>
      <c r="O209" s="19" t="str">
        <f aca="false">IF(N209&gt;=6,"High",IF(N209&gt;=3,"Medium","Low"))</f>
        <v>Low</v>
      </c>
    </row>
    <row r="210" customFormat="false" ht="15" hidden="false" customHeight="false" outlineLevel="0" collapsed="false">
      <c r="A210" s="19" t="s">
        <v>638</v>
      </c>
      <c r="B210" s="20" t="s">
        <v>365</v>
      </c>
      <c r="C210" s="19" t="s">
        <v>44</v>
      </c>
      <c r="D210" s="19" t="n">
        <v>51</v>
      </c>
      <c r="E210" s="19" t="s">
        <v>15</v>
      </c>
      <c r="F210" s="19" t="s">
        <v>50</v>
      </c>
      <c r="G210" s="19" t="n">
        <v>8</v>
      </c>
      <c r="H210" s="19" t="n">
        <v>1</v>
      </c>
      <c r="I210" s="19" t="n">
        <v>1</v>
      </c>
      <c r="J210" s="19" t="n">
        <v>0</v>
      </c>
      <c r="K210" s="19" t="s">
        <v>639</v>
      </c>
      <c r="L210" s="21" t="n">
        <v>46304</v>
      </c>
      <c r="M210" s="19" t="s">
        <v>47</v>
      </c>
      <c r="N210" s="22" t="n">
        <f aca="false">MIN(10,H210+I210+2*J210+IF(C210="Female",1,0)+IF(G210&gt;=7,2,IF(G210&gt;=5,1,0))+IF(F210="Tent",1,0))</f>
        <v>4</v>
      </c>
      <c r="O210" s="19" t="str">
        <f aca="false">IF(N210&gt;=6,"High",IF(N210&gt;=3,"Medium","Low"))</f>
        <v>Medium</v>
      </c>
    </row>
    <row r="211" customFormat="false" ht="15" hidden="false" customHeight="false" outlineLevel="0" collapsed="false">
      <c r="A211" s="19" t="s">
        <v>640</v>
      </c>
      <c r="B211" s="20" t="s">
        <v>421</v>
      </c>
      <c r="C211" s="19" t="s">
        <v>54</v>
      </c>
      <c r="D211" s="19" t="n">
        <v>27</v>
      </c>
      <c r="E211" s="19" t="s">
        <v>17</v>
      </c>
      <c r="F211" s="19" t="s">
        <v>55</v>
      </c>
      <c r="G211" s="19" t="n">
        <v>6</v>
      </c>
      <c r="H211" s="19" t="n">
        <v>0</v>
      </c>
      <c r="I211" s="19" t="n">
        <v>0</v>
      </c>
      <c r="J211" s="19" t="n">
        <v>0</v>
      </c>
      <c r="K211" s="19" t="s">
        <v>641</v>
      </c>
      <c r="L211" s="21" t="n">
        <v>46286</v>
      </c>
      <c r="M211" s="19" t="s">
        <v>47</v>
      </c>
      <c r="N211" s="22" t="n">
        <f aca="false">MIN(10,H211+I211+2*J211+IF(C211="Female",1,0)+IF(G211&gt;=7,2,IF(G211&gt;=5,1,0))+IF(F211="Tent",1,0))</f>
        <v>2</v>
      </c>
      <c r="O211" s="19" t="str">
        <f aca="false">IF(N211&gt;=6,"High",IF(N211&gt;=3,"Medium","Low"))</f>
        <v>Low</v>
      </c>
    </row>
    <row r="212" customFormat="false" ht="15" hidden="false" customHeight="false" outlineLevel="0" collapsed="false">
      <c r="A212" s="19" t="s">
        <v>642</v>
      </c>
      <c r="B212" s="20" t="s">
        <v>643</v>
      </c>
      <c r="C212" s="19" t="s">
        <v>44</v>
      </c>
      <c r="D212" s="19" t="n">
        <v>69</v>
      </c>
      <c r="E212" s="19" t="s">
        <v>17</v>
      </c>
      <c r="F212" s="19" t="s">
        <v>72</v>
      </c>
      <c r="G212" s="19" t="n">
        <v>11</v>
      </c>
      <c r="H212" s="19" t="n">
        <v>2</v>
      </c>
      <c r="I212" s="19" t="n">
        <v>0</v>
      </c>
      <c r="J212" s="19" t="n">
        <v>0</v>
      </c>
      <c r="K212" s="19" t="s">
        <v>644</v>
      </c>
      <c r="L212" s="21" t="n">
        <v>46269</v>
      </c>
      <c r="M212" s="19" t="s">
        <v>80</v>
      </c>
      <c r="N212" s="22" t="n">
        <f aca="false">MIN(10,H212+I212+2*J212+IF(C212="Female",1,0)+IF(G212&gt;=7,2,IF(G212&gt;=5,1,0))+IF(F212="Tent",1,0))</f>
        <v>4</v>
      </c>
      <c r="O212" s="19" t="str">
        <f aca="false">IF(N212&gt;=6,"High",IF(N212&gt;=3,"Medium","Low"))</f>
        <v>Medium</v>
      </c>
    </row>
    <row r="213" customFormat="false" ht="15" hidden="false" customHeight="false" outlineLevel="0" collapsed="false">
      <c r="A213" s="19" t="s">
        <v>645</v>
      </c>
      <c r="B213" s="20" t="s">
        <v>646</v>
      </c>
      <c r="C213" s="19" t="s">
        <v>44</v>
      </c>
      <c r="D213" s="19" t="n">
        <v>51</v>
      </c>
      <c r="E213" s="19" t="s">
        <v>15</v>
      </c>
      <c r="F213" s="19" t="s">
        <v>55</v>
      </c>
      <c r="G213" s="19" t="n">
        <v>8</v>
      </c>
      <c r="H213" s="19" t="n">
        <v>0</v>
      </c>
      <c r="I213" s="19" t="n">
        <v>0</v>
      </c>
      <c r="J213" s="19" t="n">
        <v>0</v>
      </c>
      <c r="K213" s="19" t="s">
        <v>647</v>
      </c>
      <c r="L213" s="21" t="n">
        <v>46271</v>
      </c>
      <c r="M213" s="19" t="s">
        <v>47</v>
      </c>
      <c r="N213" s="22" t="n">
        <f aca="false">MIN(10,H213+I213+2*J213+IF(C213="Female",1,0)+IF(G213&gt;=7,2,IF(G213&gt;=5,1,0))+IF(F213="Tent",1,0))</f>
        <v>2</v>
      </c>
      <c r="O213" s="19" t="str">
        <f aca="false">IF(N213&gt;=6,"High",IF(N213&gt;=3,"Medium","Low"))</f>
        <v>Low</v>
      </c>
    </row>
    <row r="214" customFormat="false" ht="15" hidden="false" customHeight="false" outlineLevel="0" collapsed="false">
      <c r="A214" s="19" t="s">
        <v>648</v>
      </c>
      <c r="B214" s="20" t="s">
        <v>649</v>
      </c>
      <c r="C214" s="19" t="s">
        <v>44</v>
      </c>
      <c r="D214" s="19" t="n">
        <v>48</v>
      </c>
      <c r="E214" s="19" t="s">
        <v>18</v>
      </c>
      <c r="F214" s="19" t="s">
        <v>50</v>
      </c>
      <c r="G214" s="19" t="n">
        <v>5</v>
      </c>
      <c r="H214" s="19" t="n">
        <v>1</v>
      </c>
      <c r="I214" s="19" t="n">
        <v>2</v>
      </c>
      <c r="J214" s="19" t="n">
        <v>0</v>
      </c>
      <c r="K214" s="19" t="s">
        <v>650</v>
      </c>
      <c r="L214" s="21" t="n">
        <v>46273</v>
      </c>
      <c r="M214" s="19" t="s">
        <v>47</v>
      </c>
      <c r="N214" s="22" t="n">
        <f aca="false">MIN(10,H214+I214+2*J214+IF(C214="Female",1,0)+IF(G214&gt;=7,2,IF(G214&gt;=5,1,0))+IF(F214="Tent",1,0))</f>
        <v>4</v>
      </c>
      <c r="O214" s="19" t="str">
        <f aca="false">IF(N214&gt;=6,"High",IF(N214&gt;=3,"Medium","Low"))</f>
        <v>Medium</v>
      </c>
    </row>
    <row r="215" customFormat="false" ht="15" hidden="false" customHeight="false" outlineLevel="0" collapsed="false">
      <c r="A215" s="19" t="s">
        <v>651</v>
      </c>
      <c r="B215" s="20" t="s">
        <v>652</v>
      </c>
      <c r="C215" s="19" t="s">
        <v>44</v>
      </c>
      <c r="D215" s="19" t="n">
        <v>69</v>
      </c>
      <c r="E215" s="19" t="s">
        <v>16</v>
      </c>
      <c r="F215" s="19" t="s">
        <v>45</v>
      </c>
      <c r="G215" s="19" t="n">
        <v>1</v>
      </c>
      <c r="H215" s="19" t="n">
        <v>0</v>
      </c>
      <c r="I215" s="19" t="n">
        <v>0</v>
      </c>
      <c r="J215" s="19" t="n">
        <v>0</v>
      </c>
      <c r="K215" s="19" t="s">
        <v>653</v>
      </c>
      <c r="L215" s="21" t="n">
        <v>46299</v>
      </c>
      <c r="M215" s="19" t="s">
        <v>47</v>
      </c>
      <c r="N215" s="22" t="n">
        <f aca="false">MIN(10,H215+I215+2*J215+IF(C215="Female",1,0)+IF(G215&gt;=7,2,IF(G215&gt;=5,1,0))+IF(F215="Tent",1,0))</f>
        <v>1</v>
      </c>
      <c r="O215" s="19" t="str">
        <f aca="false">IF(N215&gt;=6,"High",IF(N215&gt;=3,"Medium","Low"))</f>
        <v>Low</v>
      </c>
    </row>
    <row r="216" customFormat="false" ht="15" hidden="false" customHeight="false" outlineLevel="0" collapsed="false">
      <c r="A216" s="19" t="s">
        <v>654</v>
      </c>
      <c r="B216" s="20" t="s">
        <v>655</v>
      </c>
      <c r="C216" s="19" t="s">
        <v>44</v>
      </c>
      <c r="D216" s="19" t="n">
        <v>59</v>
      </c>
      <c r="E216" s="19" t="s">
        <v>14</v>
      </c>
      <c r="F216" s="19" t="s">
        <v>72</v>
      </c>
      <c r="G216" s="19" t="n">
        <v>8</v>
      </c>
      <c r="H216" s="19" t="n">
        <v>0</v>
      </c>
      <c r="I216" s="19" t="n">
        <v>1</v>
      </c>
      <c r="J216" s="19" t="n">
        <v>0</v>
      </c>
      <c r="K216" s="19" t="s">
        <v>656</v>
      </c>
      <c r="L216" s="21" t="n">
        <v>46302</v>
      </c>
      <c r="M216" s="19" t="s">
        <v>47</v>
      </c>
      <c r="N216" s="22" t="n">
        <f aca="false">MIN(10,H216+I216+2*J216+IF(C216="Female",1,0)+IF(G216&gt;=7,2,IF(G216&gt;=5,1,0))+IF(F216="Tent",1,0))</f>
        <v>3</v>
      </c>
      <c r="O216" s="19" t="str">
        <f aca="false">IF(N216&gt;=6,"High",IF(N216&gt;=3,"Medium","Low"))</f>
        <v>Medium</v>
      </c>
    </row>
    <row r="217" customFormat="false" ht="15" hidden="false" customHeight="false" outlineLevel="0" collapsed="false">
      <c r="A217" s="19" t="s">
        <v>657</v>
      </c>
      <c r="B217" s="20" t="s">
        <v>658</v>
      </c>
      <c r="C217" s="19" t="s">
        <v>54</v>
      </c>
      <c r="D217" s="19" t="n">
        <v>19</v>
      </c>
      <c r="E217" s="19" t="s">
        <v>14</v>
      </c>
      <c r="F217" s="19" t="s">
        <v>55</v>
      </c>
      <c r="G217" s="19" t="n">
        <v>3</v>
      </c>
      <c r="H217" s="19" t="n">
        <v>0</v>
      </c>
      <c r="I217" s="19" t="n">
        <v>1</v>
      </c>
      <c r="J217" s="19" t="n">
        <v>1</v>
      </c>
      <c r="K217" s="19" t="s">
        <v>659</v>
      </c>
      <c r="L217" s="21" t="n">
        <v>46298</v>
      </c>
      <c r="M217" s="19" t="s">
        <v>47</v>
      </c>
      <c r="N217" s="22" t="n">
        <f aca="false">MIN(10,H217+I217+2*J217+IF(C217="Female",1,0)+IF(G217&gt;=7,2,IF(G217&gt;=5,1,0))+IF(F217="Tent",1,0))</f>
        <v>4</v>
      </c>
      <c r="O217" s="19" t="str">
        <f aca="false">IF(N217&gt;=6,"High",IF(N217&gt;=3,"Medium","Low"))</f>
        <v>Medium</v>
      </c>
    </row>
    <row r="218" customFormat="false" ht="15" hidden="false" customHeight="false" outlineLevel="0" collapsed="false">
      <c r="A218" s="19" t="s">
        <v>660</v>
      </c>
      <c r="B218" s="20" t="s">
        <v>661</v>
      </c>
      <c r="C218" s="19" t="s">
        <v>54</v>
      </c>
      <c r="D218" s="19" t="n">
        <v>45</v>
      </c>
      <c r="E218" s="19" t="s">
        <v>16</v>
      </c>
      <c r="F218" s="19" t="s">
        <v>45</v>
      </c>
      <c r="G218" s="19" t="n">
        <v>10</v>
      </c>
      <c r="H218" s="19" t="n">
        <v>0</v>
      </c>
      <c r="I218" s="19" t="n">
        <v>2</v>
      </c>
      <c r="J218" s="19" t="n">
        <v>0</v>
      </c>
      <c r="K218" s="19" t="s">
        <v>662</v>
      </c>
      <c r="L218" s="21" t="n">
        <v>46281</v>
      </c>
      <c r="M218" s="19" t="s">
        <v>47</v>
      </c>
      <c r="N218" s="22" t="n">
        <f aca="false">MIN(10,H218+I218+2*J218+IF(C218="Female",1,0)+IF(G218&gt;=7,2,IF(G218&gt;=5,1,0))+IF(F218="Tent",1,0))</f>
        <v>6</v>
      </c>
      <c r="O218" s="19" t="str">
        <f aca="false">IF(N218&gt;=6,"High",IF(N218&gt;=3,"Medium","Low"))</f>
        <v>High</v>
      </c>
    </row>
    <row r="219" customFormat="false" ht="15" hidden="false" customHeight="false" outlineLevel="0" collapsed="false">
      <c r="A219" s="19" t="s">
        <v>663</v>
      </c>
      <c r="B219" s="20" t="s">
        <v>664</v>
      </c>
      <c r="C219" s="19" t="s">
        <v>44</v>
      </c>
      <c r="D219" s="19" t="n">
        <v>68</v>
      </c>
      <c r="E219" s="19" t="s">
        <v>16</v>
      </c>
      <c r="F219" s="19" t="s">
        <v>45</v>
      </c>
      <c r="G219" s="19" t="n">
        <v>3</v>
      </c>
      <c r="H219" s="19" t="n">
        <v>2</v>
      </c>
      <c r="I219" s="19" t="n">
        <v>2</v>
      </c>
      <c r="J219" s="19" t="n">
        <v>1</v>
      </c>
      <c r="K219" s="19" t="s">
        <v>665</v>
      </c>
      <c r="L219" s="21" t="n">
        <v>46284</v>
      </c>
      <c r="M219" s="19" t="s">
        <v>47</v>
      </c>
      <c r="N219" s="22" t="n">
        <f aca="false">MIN(10,H219+I219+2*J219+IF(C219="Female",1,0)+IF(G219&gt;=7,2,IF(G219&gt;=5,1,0))+IF(F219="Tent",1,0))</f>
        <v>7</v>
      </c>
      <c r="O219" s="19" t="str">
        <f aca="false">IF(N219&gt;=6,"High",IF(N219&gt;=3,"Medium","Low"))</f>
        <v>High</v>
      </c>
    </row>
    <row r="220" customFormat="false" ht="15" hidden="false" customHeight="false" outlineLevel="0" collapsed="false">
      <c r="A220" s="19" t="s">
        <v>666</v>
      </c>
      <c r="B220" s="20" t="s">
        <v>667</v>
      </c>
      <c r="C220" s="19" t="s">
        <v>54</v>
      </c>
      <c r="D220" s="19" t="n">
        <v>65</v>
      </c>
      <c r="E220" s="19" t="s">
        <v>18</v>
      </c>
      <c r="F220" s="19" t="s">
        <v>50</v>
      </c>
      <c r="G220" s="19" t="n">
        <v>6</v>
      </c>
      <c r="H220" s="19" t="n">
        <v>0</v>
      </c>
      <c r="I220" s="19" t="n">
        <v>0</v>
      </c>
      <c r="J220" s="19" t="n">
        <v>0</v>
      </c>
      <c r="K220" s="19" t="s">
        <v>668</v>
      </c>
      <c r="L220" s="21" t="n">
        <v>46278</v>
      </c>
      <c r="M220" s="19" t="s">
        <v>47</v>
      </c>
      <c r="N220" s="22" t="n">
        <f aca="false">MIN(10,H220+I220+2*J220+IF(C220="Female",1,0)+IF(G220&gt;=7,2,IF(G220&gt;=5,1,0))+IF(F220="Tent",1,0))</f>
        <v>2</v>
      </c>
      <c r="O220" s="19" t="str">
        <f aca="false">IF(N220&gt;=6,"High",IF(N220&gt;=3,"Medium","Low"))</f>
        <v>Low</v>
      </c>
    </row>
    <row r="221" customFormat="false" ht="15" hidden="false" customHeight="false" outlineLevel="0" collapsed="false">
      <c r="A221" s="19" t="s">
        <v>669</v>
      </c>
      <c r="B221" s="20" t="s">
        <v>670</v>
      </c>
      <c r="C221" s="19" t="s">
        <v>54</v>
      </c>
      <c r="D221" s="19" t="n">
        <v>73</v>
      </c>
      <c r="E221" s="19" t="s">
        <v>16</v>
      </c>
      <c r="F221" s="19" t="s">
        <v>45</v>
      </c>
      <c r="G221" s="19" t="n">
        <v>4</v>
      </c>
      <c r="H221" s="19" t="n">
        <v>0</v>
      </c>
      <c r="I221" s="19" t="n">
        <v>1</v>
      </c>
      <c r="J221" s="19" t="n">
        <v>1</v>
      </c>
      <c r="K221" s="19" t="s">
        <v>671</v>
      </c>
      <c r="L221" s="21" t="n">
        <v>46290</v>
      </c>
      <c r="M221" s="19" t="s">
        <v>47</v>
      </c>
      <c r="N221" s="22" t="n">
        <f aca="false">MIN(10,H221+I221+2*J221+IF(C221="Female",1,0)+IF(G221&gt;=7,2,IF(G221&gt;=5,1,0))+IF(F221="Tent",1,0))</f>
        <v>5</v>
      </c>
      <c r="O221" s="19" t="str">
        <f aca="false">IF(N221&gt;=6,"High",IF(N221&gt;=3,"Medium","Low"))</f>
        <v>Medium</v>
      </c>
    </row>
    <row r="222" customFormat="false" ht="15" hidden="false" customHeight="false" outlineLevel="0" collapsed="false">
      <c r="A222" s="19" t="s">
        <v>672</v>
      </c>
      <c r="B222" s="20" t="s">
        <v>673</v>
      </c>
      <c r="C222" s="19" t="s">
        <v>54</v>
      </c>
      <c r="D222" s="19" t="n">
        <v>63</v>
      </c>
      <c r="E222" s="19" t="s">
        <v>16</v>
      </c>
      <c r="F222" s="19" t="s">
        <v>72</v>
      </c>
      <c r="G222" s="19" t="n">
        <v>11</v>
      </c>
      <c r="H222" s="19" t="n">
        <v>0</v>
      </c>
      <c r="I222" s="19" t="n">
        <v>0</v>
      </c>
      <c r="J222" s="19" t="n">
        <v>0</v>
      </c>
      <c r="K222" s="19" t="s">
        <v>674</v>
      </c>
      <c r="L222" s="21" t="n">
        <v>46292</v>
      </c>
      <c r="M222" s="19" t="s">
        <v>80</v>
      </c>
      <c r="N222" s="22" t="n">
        <f aca="false">MIN(10,H222+I222+2*J222+IF(C222="Female",1,0)+IF(G222&gt;=7,2,IF(G222&gt;=5,1,0))+IF(F222="Tent",1,0))</f>
        <v>3</v>
      </c>
      <c r="O222" s="19" t="str">
        <f aca="false">IF(N222&gt;=6,"High",IF(N222&gt;=3,"Medium","Low"))</f>
        <v>Medium</v>
      </c>
    </row>
    <row r="223" customFormat="false" ht="15" hidden="false" customHeight="false" outlineLevel="0" collapsed="false">
      <c r="A223" s="19" t="s">
        <v>675</v>
      </c>
      <c r="B223" s="20" t="s">
        <v>676</v>
      </c>
      <c r="C223" s="19" t="s">
        <v>44</v>
      </c>
      <c r="D223" s="19" t="n">
        <v>73</v>
      </c>
      <c r="E223" s="19" t="s">
        <v>16</v>
      </c>
      <c r="F223" s="19" t="s">
        <v>55</v>
      </c>
      <c r="G223" s="19" t="n">
        <v>7</v>
      </c>
      <c r="H223" s="19" t="n">
        <v>0</v>
      </c>
      <c r="I223" s="19" t="n">
        <v>0</v>
      </c>
      <c r="J223" s="19" t="n">
        <v>0</v>
      </c>
      <c r="K223" s="19" t="s">
        <v>677</v>
      </c>
      <c r="L223" s="21" t="n">
        <v>46282</v>
      </c>
      <c r="M223" s="19" t="s">
        <v>47</v>
      </c>
      <c r="N223" s="22" t="n">
        <f aca="false">MIN(10,H223+I223+2*J223+IF(C223="Female",1,0)+IF(G223&gt;=7,2,IF(G223&gt;=5,1,0))+IF(F223="Tent",1,0))</f>
        <v>2</v>
      </c>
      <c r="O223" s="19" t="str">
        <f aca="false">IF(N223&gt;=6,"High",IF(N223&gt;=3,"Medium","Low"))</f>
        <v>Low</v>
      </c>
    </row>
    <row r="224" customFormat="false" ht="15" hidden="false" customHeight="false" outlineLevel="0" collapsed="false">
      <c r="A224" s="19" t="s">
        <v>678</v>
      </c>
      <c r="B224" s="20" t="s">
        <v>679</v>
      </c>
      <c r="C224" s="19" t="s">
        <v>44</v>
      </c>
      <c r="D224" s="19" t="n">
        <v>29</v>
      </c>
      <c r="E224" s="19" t="s">
        <v>17</v>
      </c>
      <c r="F224" s="19" t="s">
        <v>72</v>
      </c>
      <c r="G224" s="19" t="n">
        <v>6</v>
      </c>
      <c r="H224" s="19" t="n">
        <v>0</v>
      </c>
      <c r="I224" s="19" t="n">
        <v>2</v>
      </c>
      <c r="J224" s="19" t="n">
        <v>0</v>
      </c>
      <c r="K224" s="19" t="s">
        <v>680</v>
      </c>
      <c r="L224" s="21" t="n">
        <v>46272</v>
      </c>
      <c r="M224" s="19" t="s">
        <v>47</v>
      </c>
      <c r="N224" s="22" t="n">
        <f aca="false">MIN(10,H224+I224+2*J224+IF(C224="Female",1,0)+IF(G224&gt;=7,2,IF(G224&gt;=5,1,0))+IF(F224="Tent",1,0))</f>
        <v>3</v>
      </c>
      <c r="O224" s="19" t="str">
        <f aca="false">IF(N224&gt;=6,"High",IF(N224&gt;=3,"Medium","Low"))</f>
        <v>Medium</v>
      </c>
    </row>
    <row r="225" customFormat="false" ht="15" hidden="false" customHeight="false" outlineLevel="0" collapsed="false">
      <c r="A225" s="19" t="s">
        <v>681</v>
      </c>
      <c r="B225" s="20" t="s">
        <v>682</v>
      </c>
      <c r="C225" s="19" t="s">
        <v>44</v>
      </c>
      <c r="D225" s="19" t="n">
        <v>21</v>
      </c>
      <c r="E225" s="19" t="s">
        <v>15</v>
      </c>
      <c r="F225" s="19" t="s">
        <v>50</v>
      </c>
      <c r="G225" s="19" t="n">
        <v>5</v>
      </c>
      <c r="H225" s="19" t="n">
        <v>0</v>
      </c>
      <c r="I225" s="19" t="n">
        <v>0</v>
      </c>
      <c r="J225" s="19" t="n">
        <v>0</v>
      </c>
      <c r="K225" s="19" t="s">
        <v>683</v>
      </c>
      <c r="L225" s="21" t="n">
        <v>46304</v>
      </c>
      <c r="M225" s="19" t="s">
        <v>47</v>
      </c>
      <c r="N225" s="22" t="n">
        <f aca="false">MIN(10,H225+I225+2*J225+IF(C225="Female",1,0)+IF(G225&gt;=7,2,IF(G225&gt;=5,1,0))+IF(F225="Tent",1,0))</f>
        <v>1</v>
      </c>
      <c r="O225" s="19" t="str">
        <f aca="false">IF(N225&gt;=6,"High",IF(N225&gt;=3,"Medium","Low"))</f>
        <v>Low</v>
      </c>
    </row>
    <row r="226" customFormat="false" ht="15" hidden="false" customHeight="false" outlineLevel="0" collapsed="false">
      <c r="A226" s="19" t="s">
        <v>684</v>
      </c>
      <c r="B226" s="20" t="s">
        <v>685</v>
      </c>
      <c r="C226" s="19" t="s">
        <v>54</v>
      </c>
      <c r="D226" s="19" t="n">
        <v>54</v>
      </c>
      <c r="E226" s="19" t="s">
        <v>18</v>
      </c>
      <c r="F226" s="19" t="s">
        <v>45</v>
      </c>
      <c r="G226" s="19" t="n">
        <v>5</v>
      </c>
      <c r="H226" s="19" t="n">
        <v>0</v>
      </c>
      <c r="I226" s="19" t="n">
        <v>0</v>
      </c>
      <c r="J226" s="19" t="n">
        <v>1</v>
      </c>
      <c r="K226" s="19" t="s">
        <v>686</v>
      </c>
      <c r="L226" s="21" t="n">
        <v>46294</v>
      </c>
      <c r="M226" s="19" t="s">
        <v>47</v>
      </c>
      <c r="N226" s="22" t="n">
        <f aca="false">MIN(10,H226+I226+2*J226+IF(C226="Female",1,0)+IF(G226&gt;=7,2,IF(G226&gt;=5,1,0))+IF(F226="Tent",1,0))</f>
        <v>5</v>
      </c>
      <c r="O226" s="19" t="str">
        <f aca="false">IF(N226&gt;=6,"High",IF(N226&gt;=3,"Medium","Low"))</f>
        <v>Medium</v>
      </c>
    </row>
    <row r="227" customFormat="false" ht="15" hidden="false" customHeight="false" outlineLevel="0" collapsed="false">
      <c r="A227" s="19" t="s">
        <v>687</v>
      </c>
      <c r="B227" s="20" t="s">
        <v>688</v>
      </c>
      <c r="C227" s="19" t="s">
        <v>44</v>
      </c>
      <c r="D227" s="19" t="n">
        <v>42</v>
      </c>
      <c r="E227" s="19" t="s">
        <v>14</v>
      </c>
      <c r="F227" s="19" t="s">
        <v>72</v>
      </c>
      <c r="G227" s="19" t="n">
        <v>1</v>
      </c>
      <c r="H227" s="19" t="n">
        <v>0</v>
      </c>
      <c r="I227" s="19" t="n">
        <v>1</v>
      </c>
      <c r="J227" s="19" t="n">
        <v>2</v>
      </c>
      <c r="K227" s="19" t="s">
        <v>689</v>
      </c>
      <c r="L227" s="21" t="n">
        <v>46291</v>
      </c>
      <c r="M227" s="19" t="s">
        <v>47</v>
      </c>
      <c r="N227" s="22" t="n">
        <f aca="false">MIN(10,H227+I227+2*J227+IF(C227="Female",1,0)+IF(G227&gt;=7,2,IF(G227&gt;=5,1,0))+IF(F227="Tent",1,0))</f>
        <v>5</v>
      </c>
      <c r="O227" s="19" t="str">
        <f aca="false">IF(N227&gt;=6,"High",IF(N227&gt;=3,"Medium","Low"))</f>
        <v>Medium</v>
      </c>
    </row>
    <row r="228" customFormat="false" ht="15" hidden="false" customHeight="false" outlineLevel="0" collapsed="false">
      <c r="A228" s="19" t="s">
        <v>690</v>
      </c>
      <c r="B228" s="20" t="s">
        <v>691</v>
      </c>
      <c r="C228" s="19" t="s">
        <v>44</v>
      </c>
      <c r="D228" s="19" t="n">
        <v>22</v>
      </c>
      <c r="E228" s="19" t="s">
        <v>15</v>
      </c>
      <c r="F228" s="19" t="s">
        <v>55</v>
      </c>
      <c r="G228" s="19" t="n">
        <v>4</v>
      </c>
      <c r="H228" s="19" t="n">
        <v>1</v>
      </c>
      <c r="I228" s="19" t="n">
        <v>1</v>
      </c>
      <c r="J228" s="19" t="n">
        <v>0</v>
      </c>
      <c r="K228" s="19" t="s">
        <v>692</v>
      </c>
      <c r="L228" s="21" t="n">
        <v>46295</v>
      </c>
      <c r="M228" s="19" t="s">
        <v>47</v>
      </c>
      <c r="N228" s="22" t="n">
        <f aca="false">MIN(10,H228+I228+2*J228+IF(C228="Female",1,0)+IF(G228&gt;=7,2,IF(G228&gt;=5,1,0))+IF(F228="Tent",1,0))</f>
        <v>2</v>
      </c>
      <c r="O228" s="19" t="str">
        <f aca="false">IF(N228&gt;=6,"High",IF(N228&gt;=3,"Medium","Low"))</f>
        <v>Low</v>
      </c>
    </row>
    <row r="229" customFormat="false" ht="15" hidden="false" customHeight="false" outlineLevel="0" collapsed="false">
      <c r="A229" s="19" t="s">
        <v>693</v>
      </c>
      <c r="B229" s="20" t="s">
        <v>694</v>
      </c>
      <c r="C229" s="19" t="s">
        <v>44</v>
      </c>
      <c r="D229" s="19" t="n">
        <v>21</v>
      </c>
      <c r="E229" s="19" t="s">
        <v>18</v>
      </c>
      <c r="F229" s="19" t="s">
        <v>50</v>
      </c>
      <c r="G229" s="19" t="n">
        <v>5</v>
      </c>
      <c r="H229" s="19" t="n">
        <v>1</v>
      </c>
      <c r="I229" s="19" t="n">
        <v>0</v>
      </c>
      <c r="J229" s="19" t="n">
        <v>1</v>
      </c>
      <c r="K229" s="19" t="s">
        <v>695</v>
      </c>
      <c r="L229" s="21" t="n">
        <v>46275</v>
      </c>
      <c r="M229" s="19" t="s">
        <v>47</v>
      </c>
      <c r="N229" s="22" t="n">
        <f aca="false">MIN(10,H229+I229+2*J229+IF(C229="Female",1,0)+IF(G229&gt;=7,2,IF(G229&gt;=5,1,0))+IF(F229="Tent",1,0))</f>
        <v>4</v>
      </c>
      <c r="O229" s="19" t="str">
        <f aca="false">IF(N229&gt;=6,"High",IF(N229&gt;=3,"Medium","Low"))</f>
        <v>Medium</v>
      </c>
    </row>
    <row r="230" customFormat="false" ht="15" hidden="false" customHeight="false" outlineLevel="0" collapsed="false">
      <c r="A230" s="19" t="s">
        <v>696</v>
      </c>
      <c r="B230" s="20" t="s">
        <v>573</v>
      </c>
      <c r="C230" s="19" t="s">
        <v>44</v>
      </c>
      <c r="D230" s="19" t="n">
        <v>69</v>
      </c>
      <c r="E230" s="19" t="s">
        <v>14</v>
      </c>
      <c r="F230" s="19" t="s">
        <v>55</v>
      </c>
      <c r="G230" s="19" t="n">
        <v>6</v>
      </c>
      <c r="H230" s="19" t="n">
        <v>0</v>
      </c>
      <c r="I230" s="19" t="n">
        <v>0</v>
      </c>
      <c r="J230" s="19" t="n">
        <v>0</v>
      </c>
      <c r="K230" s="19" t="s">
        <v>697</v>
      </c>
      <c r="L230" s="21" t="n">
        <v>46300</v>
      </c>
      <c r="M230" s="19" t="s">
        <v>80</v>
      </c>
      <c r="N230" s="22" t="n">
        <f aca="false">MIN(10,H230+I230+2*J230+IF(C230="Female",1,0)+IF(G230&gt;=7,2,IF(G230&gt;=5,1,0))+IF(F230="Tent",1,0))</f>
        <v>1</v>
      </c>
      <c r="O230" s="19" t="str">
        <f aca="false">IF(N230&gt;=6,"High",IF(N230&gt;=3,"Medium","Low"))</f>
        <v>Low</v>
      </c>
    </row>
    <row r="231" customFormat="false" ht="15" hidden="false" customHeight="false" outlineLevel="0" collapsed="false">
      <c r="A231" s="19" t="s">
        <v>698</v>
      </c>
      <c r="B231" s="20" t="s">
        <v>699</v>
      </c>
      <c r="C231" s="19" t="s">
        <v>44</v>
      </c>
      <c r="D231" s="19" t="n">
        <v>20</v>
      </c>
      <c r="E231" s="19" t="s">
        <v>16</v>
      </c>
      <c r="F231" s="19" t="s">
        <v>45</v>
      </c>
      <c r="G231" s="19" t="n">
        <v>5</v>
      </c>
      <c r="H231" s="19" t="n">
        <v>1</v>
      </c>
      <c r="I231" s="19" t="n">
        <v>0</v>
      </c>
      <c r="J231" s="19" t="n">
        <v>0</v>
      </c>
      <c r="K231" s="19" t="s">
        <v>700</v>
      </c>
      <c r="L231" s="21" t="n">
        <v>46280</v>
      </c>
      <c r="M231" s="19" t="s">
        <v>66</v>
      </c>
      <c r="N231" s="22" t="n">
        <f aca="false">MIN(10,H231+I231+2*J231+IF(C231="Female",1,0)+IF(G231&gt;=7,2,IF(G231&gt;=5,1,0))+IF(F231="Tent",1,0))</f>
        <v>3</v>
      </c>
      <c r="O231" s="19" t="str">
        <f aca="false">IF(N231&gt;=6,"High",IF(N231&gt;=3,"Medium","Low"))</f>
        <v>Medium</v>
      </c>
    </row>
    <row r="232" customFormat="false" ht="15" hidden="false" customHeight="false" outlineLevel="0" collapsed="false">
      <c r="A232" s="19" t="s">
        <v>701</v>
      </c>
      <c r="B232" s="20" t="s">
        <v>522</v>
      </c>
      <c r="C232" s="19" t="s">
        <v>44</v>
      </c>
      <c r="D232" s="19" t="n">
        <v>73</v>
      </c>
      <c r="E232" s="19" t="s">
        <v>17</v>
      </c>
      <c r="F232" s="19" t="s">
        <v>45</v>
      </c>
      <c r="G232" s="19" t="n">
        <v>11</v>
      </c>
      <c r="H232" s="19" t="n">
        <v>0</v>
      </c>
      <c r="I232" s="19" t="n">
        <v>0</v>
      </c>
      <c r="J232" s="19" t="n">
        <v>0</v>
      </c>
      <c r="K232" s="19" t="s">
        <v>702</v>
      </c>
      <c r="L232" s="21" t="n">
        <v>46302</v>
      </c>
      <c r="M232" s="19" t="s">
        <v>80</v>
      </c>
      <c r="N232" s="22" t="n">
        <f aca="false">MIN(10,H232+I232+2*J232+IF(C232="Female",1,0)+IF(G232&gt;=7,2,IF(G232&gt;=5,1,0))+IF(F232="Tent",1,0))</f>
        <v>3</v>
      </c>
      <c r="O232" s="19" t="str">
        <f aca="false">IF(N232&gt;=6,"High",IF(N232&gt;=3,"Medium","Low"))</f>
        <v>Medium</v>
      </c>
    </row>
    <row r="233" customFormat="false" ht="15" hidden="false" customHeight="false" outlineLevel="0" collapsed="false">
      <c r="A233" s="19" t="s">
        <v>703</v>
      </c>
      <c r="B233" s="20" t="s">
        <v>704</v>
      </c>
      <c r="C233" s="19" t="s">
        <v>44</v>
      </c>
      <c r="D233" s="19" t="n">
        <v>55</v>
      </c>
      <c r="E233" s="19" t="s">
        <v>18</v>
      </c>
      <c r="F233" s="19" t="s">
        <v>45</v>
      </c>
      <c r="G233" s="19" t="n">
        <v>7</v>
      </c>
      <c r="H233" s="19" t="n">
        <v>2</v>
      </c>
      <c r="I233" s="19" t="n">
        <v>0</v>
      </c>
      <c r="J233" s="19" t="n">
        <v>1</v>
      </c>
      <c r="K233" s="19" t="s">
        <v>705</v>
      </c>
      <c r="L233" s="21" t="n">
        <v>46288</v>
      </c>
      <c r="M233" s="19" t="s">
        <v>66</v>
      </c>
      <c r="N233" s="22" t="n">
        <f aca="false">MIN(10,H233+I233+2*J233+IF(C233="Female",1,0)+IF(G233&gt;=7,2,IF(G233&gt;=5,1,0))+IF(F233="Tent",1,0))</f>
        <v>7</v>
      </c>
      <c r="O233" s="19" t="str">
        <f aca="false">IF(N233&gt;=6,"High",IF(N233&gt;=3,"Medium","Low"))</f>
        <v>High</v>
      </c>
    </row>
    <row r="234" customFormat="false" ht="15" hidden="false" customHeight="false" outlineLevel="0" collapsed="false">
      <c r="A234" s="19" t="s">
        <v>706</v>
      </c>
      <c r="B234" s="20" t="s">
        <v>253</v>
      </c>
      <c r="C234" s="19" t="s">
        <v>44</v>
      </c>
      <c r="D234" s="19" t="n">
        <v>19</v>
      </c>
      <c r="E234" s="19" t="s">
        <v>16</v>
      </c>
      <c r="F234" s="19" t="s">
        <v>55</v>
      </c>
      <c r="G234" s="19" t="n">
        <v>5</v>
      </c>
      <c r="H234" s="19" t="n">
        <v>1</v>
      </c>
      <c r="I234" s="19" t="n">
        <v>0</v>
      </c>
      <c r="J234" s="19" t="n">
        <v>0</v>
      </c>
      <c r="K234" s="19" t="s">
        <v>707</v>
      </c>
      <c r="L234" s="21" t="n">
        <v>46296</v>
      </c>
      <c r="M234" s="19" t="s">
        <v>47</v>
      </c>
      <c r="N234" s="22" t="n">
        <f aca="false">MIN(10,H234+I234+2*J234+IF(C234="Female",1,0)+IF(G234&gt;=7,2,IF(G234&gt;=5,1,0))+IF(F234="Tent",1,0))</f>
        <v>2</v>
      </c>
      <c r="O234" s="19" t="str">
        <f aca="false">IF(N234&gt;=6,"High",IF(N234&gt;=3,"Medium","Low"))</f>
        <v>Low</v>
      </c>
    </row>
    <row r="235" customFormat="false" ht="15" hidden="false" customHeight="false" outlineLevel="0" collapsed="false">
      <c r="A235" s="19" t="s">
        <v>708</v>
      </c>
      <c r="B235" s="20" t="s">
        <v>709</v>
      </c>
      <c r="C235" s="19" t="s">
        <v>54</v>
      </c>
      <c r="D235" s="19" t="n">
        <v>73</v>
      </c>
      <c r="E235" s="19" t="s">
        <v>18</v>
      </c>
      <c r="F235" s="19" t="s">
        <v>55</v>
      </c>
      <c r="G235" s="19" t="n">
        <v>10</v>
      </c>
      <c r="H235" s="19" t="n">
        <v>2</v>
      </c>
      <c r="I235" s="19" t="n">
        <v>0</v>
      </c>
      <c r="J235" s="19" t="n">
        <v>0</v>
      </c>
      <c r="K235" s="19" t="s">
        <v>710</v>
      </c>
      <c r="L235" s="21" t="n">
        <v>46273</v>
      </c>
      <c r="M235" s="19" t="s">
        <v>66</v>
      </c>
      <c r="N235" s="22" t="n">
        <f aca="false">MIN(10,H235+I235+2*J235+IF(C235="Female",1,0)+IF(G235&gt;=7,2,IF(G235&gt;=5,1,0))+IF(F235="Tent",1,0))</f>
        <v>5</v>
      </c>
      <c r="O235" s="19" t="str">
        <f aca="false">IF(N235&gt;=6,"High",IF(N235&gt;=3,"Medium","Low"))</f>
        <v>Medium</v>
      </c>
    </row>
    <row r="236" customFormat="false" ht="15" hidden="false" customHeight="false" outlineLevel="0" collapsed="false">
      <c r="A236" s="19" t="s">
        <v>711</v>
      </c>
      <c r="B236" s="20" t="s">
        <v>712</v>
      </c>
      <c r="C236" s="19" t="s">
        <v>44</v>
      </c>
      <c r="D236" s="19" t="n">
        <v>60</v>
      </c>
      <c r="E236" s="19" t="s">
        <v>16</v>
      </c>
      <c r="F236" s="19" t="s">
        <v>45</v>
      </c>
      <c r="G236" s="19" t="n">
        <v>3</v>
      </c>
      <c r="H236" s="19" t="n">
        <v>0</v>
      </c>
      <c r="I236" s="19" t="n">
        <v>0</v>
      </c>
      <c r="J236" s="19" t="n">
        <v>0</v>
      </c>
      <c r="K236" s="19" t="s">
        <v>713</v>
      </c>
      <c r="L236" s="21" t="n">
        <v>46297</v>
      </c>
      <c r="M236" s="19" t="s">
        <v>66</v>
      </c>
      <c r="N236" s="22" t="n">
        <f aca="false">MIN(10,H236+I236+2*J236+IF(C236="Female",1,0)+IF(G236&gt;=7,2,IF(G236&gt;=5,1,0))+IF(F236="Tent",1,0))</f>
        <v>1</v>
      </c>
      <c r="O236" s="19" t="str">
        <f aca="false">IF(N236&gt;=6,"High",IF(N236&gt;=3,"Medium","Low"))</f>
        <v>Low</v>
      </c>
    </row>
    <row r="237" customFormat="false" ht="15" hidden="false" customHeight="false" outlineLevel="0" collapsed="false">
      <c r="A237" s="19" t="s">
        <v>714</v>
      </c>
      <c r="B237" s="20" t="s">
        <v>58</v>
      </c>
      <c r="C237" s="19" t="s">
        <v>44</v>
      </c>
      <c r="D237" s="19" t="n">
        <v>63</v>
      </c>
      <c r="E237" s="19" t="s">
        <v>18</v>
      </c>
      <c r="F237" s="19" t="s">
        <v>45</v>
      </c>
      <c r="G237" s="19" t="n">
        <v>4</v>
      </c>
      <c r="H237" s="19" t="n">
        <v>1</v>
      </c>
      <c r="I237" s="19" t="n">
        <v>0</v>
      </c>
      <c r="J237" s="19" t="n">
        <v>0</v>
      </c>
      <c r="K237" s="19" t="s">
        <v>715</v>
      </c>
      <c r="L237" s="21" t="n">
        <v>46266</v>
      </c>
      <c r="M237" s="19" t="s">
        <v>66</v>
      </c>
      <c r="N237" s="22" t="n">
        <f aca="false">MIN(10,H237+I237+2*J237+IF(C237="Female",1,0)+IF(G237&gt;=7,2,IF(G237&gt;=5,1,0))+IF(F237="Tent",1,0))</f>
        <v>2</v>
      </c>
      <c r="O237" s="19" t="str">
        <f aca="false">IF(N237&gt;=6,"High",IF(N237&gt;=3,"Medium","Low"))</f>
        <v>Low</v>
      </c>
    </row>
    <row r="238" customFormat="false" ht="15" hidden="false" customHeight="false" outlineLevel="0" collapsed="false">
      <c r="A238" s="19" t="s">
        <v>716</v>
      </c>
      <c r="B238" s="20" t="s">
        <v>717</v>
      </c>
      <c r="C238" s="19" t="s">
        <v>44</v>
      </c>
      <c r="D238" s="19" t="n">
        <v>40</v>
      </c>
      <c r="E238" s="19" t="s">
        <v>14</v>
      </c>
      <c r="F238" s="19" t="s">
        <v>45</v>
      </c>
      <c r="G238" s="19" t="n">
        <v>7</v>
      </c>
      <c r="H238" s="19" t="n">
        <v>2</v>
      </c>
      <c r="I238" s="19" t="n">
        <v>2</v>
      </c>
      <c r="J238" s="19" t="n">
        <v>0</v>
      </c>
      <c r="K238" s="19" t="s">
        <v>718</v>
      </c>
      <c r="L238" s="21" t="n">
        <v>46275</v>
      </c>
      <c r="M238" s="19" t="s">
        <v>66</v>
      </c>
      <c r="N238" s="22" t="n">
        <f aca="false">MIN(10,H238+I238+2*J238+IF(C238="Female",1,0)+IF(G238&gt;=7,2,IF(G238&gt;=5,1,0))+IF(F238="Tent",1,0))</f>
        <v>7</v>
      </c>
      <c r="O238" s="19" t="str">
        <f aca="false">IF(N238&gt;=6,"High",IF(N238&gt;=3,"Medium","Low"))</f>
        <v>High</v>
      </c>
    </row>
    <row r="239" customFormat="false" ht="15" hidden="false" customHeight="false" outlineLevel="0" collapsed="false">
      <c r="A239" s="19" t="s">
        <v>719</v>
      </c>
      <c r="B239" s="20" t="s">
        <v>415</v>
      </c>
      <c r="C239" s="19" t="s">
        <v>54</v>
      </c>
      <c r="D239" s="19" t="n">
        <v>63</v>
      </c>
      <c r="E239" s="19" t="s">
        <v>14</v>
      </c>
      <c r="F239" s="19" t="s">
        <v>45</v>
      </c>
      <c r="G239" s="19" t="n">
        <v>9</v>
      </c>
      <c r="H239" s="19" t="n">
        <v>1</v>
      </c>
      <c r="I239" s="19" t="n">
        <v>1</v>
      </c>
      <c r="J239" s="19" t="n">
        <v>0</v>
      </c>
      <c r="K239" s="19" t="s">
        <v>720</v>
      </c>
      <c r="L239" s="21" t="n">
        <v>46281</v>
      </c>
      <c r="M239" s="19" t="s">
        <v>80</v>
      </c>
      <c r="N239" s="22" t="n">
        <f aca="false">MIN(10,H239+I239+2*J239+IF(C239="Female",1,0)+IF(G239&gt;=7,2,IF(G239&gt;=5,1,0))+IF(F239="Tent",1,0))</f>
        <v>6</v>
      </c>
      <c r="O239" s="19" t="str">
        <f aca="false">IF(N239&gt;=6,"High",IF(N239&gt;=3,"Medium","Low"))</f>
        <v>High</v>
      </c>
    </row>
    <row r="240" customFormat="false" ht="15" hidden="false" customHeight="false" outlineLevel="0" collapsed="false">
      <c r="A240" s="19" t="s">
        <v>721</v>
      </c>
      <c r="B240" s="20" t="s">
        <v>722</v>
      </c>
      <c r="C240" s="19" t="s">
        <v>44</v>
      </c>
      <c r="D240" s="19" t="n">
        <v>25</v>
      </c>
      <c r="E240" s="19" t="s">
        <v>17</v>
      </c>
      <c r="F240" s="19" t="s">
        <v>50</v>
      </c>
      <c r="G240" s="19" t="n">
        <v>5</v>
      </c>
      <c r="H240" s="19" t="n">
        <v>1</v>
      </c>
      <c r="I240" s="19" t="n">
        <v>0</v>
      </c>
      <c r="J240" s="19" t="n">
        <v>0</v>
      </c>
      <c r="K240" s="19" t="s">
        <v>723</v>
      </c>
      <c r="L240" s="21" t="n">
        <v>46290</v>
      </c>
      <c r="M240" s="19" t="s">
        <v>47</v>
      </c>
      <c r="N240" s="22" t="n">
        <f aca="false">MIN(10,H240+I240+2*J240+IF(C240="Female",1,0)+IF(G240&gt;=7,2,IF(G240&gt;=5,1,0))+IF(F240="Tent",1,0))</f>
        <v>2</v>
      </c>
      <c r="O240" s="19" t="str">
        <f aca="false">IF(N240&gt;=6,"High",IF(N240&gt;=3,"Medium","Low"))</f>
        <v>Low</v>
      </c>
    </row>
    <row r="241" customFormat="false" ht="15" hidden="false" customHeight="false" outlineLevel="0" collapsed="false">
      <c r="A241" s="19" t="s">
        <v>724</v>
      </c>
      <c r="B241" s="20" t="s">
        <v>725</v>
      </c>
      <c r="C241" s="19" t="s">
        <v>44</v>
      </c>
      <c r="D241" s="19" t="n">
        <v>29</v>
      </c>
      <c r="E241" s="19" t="s">
        <v>17</v>
      </c>
      <c r="F241" s="19" t="s">
        <v>45</v>
      </c>
      <c r="G241" s="19" t="n">
        <v>6</v>
      </c>
      <c r="H241" s="19" t="n">
        <v>2</v>
      </c>
      <c r="I241" s="19" t="n">
        <v>0</v>
      </c>
      <c r="J241" s="19" t="n">
        <v>0</v>
      </c>
      <c r="K241" s="19" t="s">
        <v>726</v>
      </c>
      <c r="L241" s="21" t="n">
        <v>46287</v>
      </c>
      <c r="M241" s="19" t="s">
        <v>47</v>
      </c>
      <c r="N241" s="22" t="n">
        <f aca="false">MIN(10,H241+I241+2*J241+IF(C241="Female",1,0)+IF(G241&gt;=7,2,IF(G241&gt;=5,1,0))+IF(F241="Tent",1,0))</f>
        <v>4</v>
      </c>
      <c r="O241" s="19" t="str">
        <f aca="false">IF(N241&gt;=6,"High",IF(N241&gt;=3,"Medium","Low"))</f>
        <v>Medium</v>
      </c>
    </row>
    <row r="242" customFormat="false" ht="15" hidden="false" customHeight="false" outlineLevel="0" collapsed="false">
      <c r="A242" s="19" t="s">
        <v>727</v>
      </c>
      <c r="B242" s="20" t="s">
        <v>728</v>
      </c>
      <c r="C242" s="19" t="s">
        <v>44</v>
      </c>
      <c r="D242" s="19" t="n">
        <v>22</v>
      </c>
      <c r="E242" s="19" t="s">
        <v>14</v>
      </c>
      <c r="F242" s="19" t="s">
        <v>45</v>
      </c>
      <c r="G242" s="19" t="n">
        <v>7</v>
      </c>
      <c r="H242" s="19" t="n">
        <v>1</v>
      </c>
      <c r="I242" s="19" t="n">
        <v>0</v>
      </c>
      <c r="J242" s="19" t="n">
        <v>0</v>
      </c>
      <c r="K242" s="19" t="s">
        <v>729</v>
      </c>
      <c r="L242" s="21" t="n">
        <v>46276</v>
      </c>
      <c r="M242" s="19" t="s">
        <v>66</v>
      </c>
      <c r="N242" s="22" t="n">
        <f aca="false">MIN(10,H242+I242+2*J242+IF(C242="Female",1,0)+IF(G242&gt;=7,2,IF(G242&gt;=5,1,0))+IF(F242="Tent",1,0))</f>
        <v>4</v>
      </c>
      <c r="O242" s="19" t="str">
        <f aca="false">IF(N242&gt;=6,"High",IF(N242&gt;=3,"Medium","Low"))</f>
        <v>Medium</v>
      </c>
    </row>
    <row r="243" customFormat="false" ht="15" hidden="false" customHeight="false" outlineLevel="0" collapsed="false">
      <c r="A243" s="19" t="s">
        <v>730</v>
      </c>
      <c r="B243" s="20" t="s">
        <v>731</v>
      </c>
      <c r="C243" s="19" t="s">
        <v>44</v>
      </c>
      <c r="D243" s="19" t="n">
        <v>28</v>
      </c>
      <c r="E243" s="19" t="s">
        <v>14</v>
      </c>
      <c r="F243" s="19" t="s">
        <v>45</v>
      </c>
      <c r="G243" s="19" t="n">
        <v>4</v>
      </c>
      <c r="H243" s="19" t="n">
        <v>0</v>
      </c>
      <c r="I243" s="19" t="n">
        <v>0</v>
      </c>
      <c r="J243" s="19" t="n">
        <v>0</v>
      </c>
      <c r="K243" s="19" t="s">
        <v>732</v>
      </c>
      <c r="L243" s="21" t="n">
        <v>46297</v>
      </c>
      <c r="M243" s="19" t="s">
        <v>47</v>
      </c>
      <c r="N243" s="22" t="n">
        <f aca="false">MIN(10,H243+I243+2*J243+IF(C243="Female",1,0)+IF(G243&gt;=7,2,IF(G243&gt;=5,1,0))+IF(F243="Tent",1,0))</f>
        <v>1</v>
      </c>
      <c r="O243" s="19" t="str">
        <f aca="false">IF(N243&gt;=6,"High",IF(N243&gt;=3,"Medium","Low"))</f>
        <v>Low</v>
      </c>
    </row>
    <row r="244" customFormat="false" ht="15" hidden="false" customHeight="false" outlineLevel="0" collapsed="false">
      <c r="A244" s="19" t="s">
        <v>733</v>
      </c>
      <c r="B244" s="20" t="s">
        <v>455</v>
      </c>
      <c r="C244" s="19" t="s">
        <v>44</v>
      </c>
      <c r="D244" s="19" t="n">
        <v>38</v>
      </c>
      <c r="E244" s="19" t="s">
        <v>17</v>
      </c>
      <c r="F244" s="19" t="s">
        <v>72</v>
      </c>
      <c r="G244" s="19" t="n">
        <v>4</v>
      </c>
      <c r="H244" s="19" t="n">
        <v>0</v>
      </c>
      <c r="I244" s="19" t="n">
        <v>0</v>
      </c>
      <c r="J244" s="19" t="n">
        <v>0</v>
      </c>
      <c r="K244" s="19" t="s">
        <v>734</v>
      </c>
      <c r="L244" s="21" t="n">
        <v>46273</v>
      </c>
      <c r="M244" s="19" t="s">
        <v>80</v>
      </c>
      <c r="N244" s="22" t="n">
        <f aca="false">MIN(10,H244+I244+2*J244+IF(C244="Female",1,0)+IF(G244&gt;=7,2,IF(G244&gt;=5,1,0))+IF(F244="Tent",1,0))</f>
        <v>0</v>
      </c>
      <c r="O244" s="19" t="str">
        <f aca="false">IF(N244&gt;=6,"High",IF(N244&gt;=3,"Medium","Low"))</f>
        <v>Low</v>
      </c>
    </row>
    <row r="245" customFormat="false" ht="15" hidden="false" customHeight="false" outlineLevel="0" collapsed="false">
      <c r="A245" s="19" t="s">
        <v>735</v>
      </c>
      <c r="B245" s="20" t="s">
        <v>736</v>
      </c>
      <c r="C245" s="19" t="s">
        <v>54</v>
      </c>
      <c r="D245" s="19" t="n">
        <v>35</v>
      </c>
      <c r="E245" s="19" t="s">
        <v>15</v>
      </c>
      <c r="F245" s="19" t="s">
        <v>50</v>
      </c>
      <c r="G245" s="19" t="n">
        <v>5</v>
      </c>
      <c r="H245" s="19" t="n">
        <v>0</v>
      </c>
      <c r="I245" s="19" t="n">
        <v>0</v>
      </c>
      <c r="J245" s="19" t="n">
        <v>0</v>
      </c>
      <c r="K245" s="19" t="s">
        <v>737</v>
      </c>
      <c r="L245" s="21" t="n">
        <v>46295</v>
      </c>
      <c r="M245" s="19" t="s">
        <v>47</v>
      </c>
      <c r="N245" s="22" t="n">
        <f aca="false">MIN(10,H245+I245+2*J245+IF(C245="Female",1,0)+IF(G245&gt;=7,2,IF(G245&gt;=5,1,0))+IF(F245="Tent",1,0))</f>
        <v>2</v>
      </c>
      <c r="O245" s="19" t="str">
        <f aca="false">IF(N245&gt;=6,"High",IF(N245&gt;=3,"Medium","Low"))</f>
        <v>Low</v>
      </c>
    </row>
    <row r="246" customFormat="false" ht="15" hidden="false" customHeight="false" outlineLevel="0" collapsed="false">
      <c r="A246" s="19" t="s">
        <v>738</v>
      </c>
      <c r="B246" s="20" t="s">
        <v>739</v>
      </c>
      <c r="C246" s="19" t="s">
        <v>54</v>
      </c>
      <c r="D246" s="19" t="n">
        <v>72</v>
      </c>
      <c r="E246" s="19" t="s">
        <v>17</v>
      </c>
      <c r="F246" s="19" t="s">
        <v>50</v>
      </c>
      <c r="G246" s="19" t="n">
        <v>2</v>
      </c>
      <c r="H246" s="19" t="n">
        <v>0</v>
      </c>
      <c r="I246" s="19" t="n">
        <v>0</v>
      </c>
      <c r="J246" s="19" t="n">
        <v>2</v>
      </c>
      <c r="K246" s="19" t="s">
        <v>740</v>
      </c>
      <c r="L246" s="21" t="n">
        <v>46269</v>
      </c>
      <c r="M246" s="19" t="s">
        <v>47</v>
      </c>
      <c r="N246" s="22" t="n">
        <f aca="false">MIN(10,H246+I246+2*J246+IF(C246="Female",1,0)+IF(G246&gt;=7,2,IF(G246&gt;=5,1,0))+IF(F246="Tent",1,0))</f>
        <v>5</v>
      </c>
      <c r="O246" s="19" t="str">
        <f aca="false">IF(N246&gt;=6,"High",IF(N246&gt;=3,"Medium","Low"))</f>
        <v>Medium</v>
      </c>
    </row>
    <row r="247" customFormat="false" ht="15" hidden="false" customHeight="false" outlineLevel="0" collapsed="false">
      <c r="A247" s="19" t="s">
        <v>741</v>
      </c>
      <c r="B247" s="20" t="s">
        <v>742</v>
      </c>
      <c r="C247" s="19" t="s">
        <v>44</v>
      </c>
      <c r="D247" s="19" t="n">
        <v>70</v>
      </c>
      <c r="E247" s="19" t="s">
        <v>18</v>
      </c>
      <c r="F247" s="19" t="s">
        <v>50</v>
      </c>
      <c r="G247" s="19" t="n">
        <v>10</v>
      </c>
      <c r="H247" s="19" t="n">
        <v>1</v>
      </c>
      <c r="I247" s="19" t="n">
        <v>0</v>
      </c>
      <c r="J247" s="19" t="n">
        <v>1</v>
      </c>
      <c r="K247" s="19" t="s">
        <v>743</v>
      </c>
      <c r="L247" s="21" t="n">
        <v>46299</v>
      </c>
      <c r="M247" s="19" t="s">
        <v>80</v>
      </c>
      <c r="N247" s="22" t="n">
        <f aca="false">MIN(10,H247+I247+2*J247+IF(C247="Female",1,0)+IF(G247&gt;=7,2,IF(G247&gt;=5,1,0))+IF(F247="Tent",1,0))</f>
        <v>5</v>
      </c>
      <c r="O247" s="19" t="str">
        <f aca="false">IF(N247&gt;=6,"High",IF(N247&gt;=3,"Medium","Low"))</f>
        <v>Medium</v>
      </c>
    </row>
    <row r="248" customFormat="false" ht="15" hidden="false" customHeight="false" outlineLevel="0" collapsed="false">
      <c r="A248" s="19" t="s">
        <v>744</v>
      </c>
      <c r="B248" s="20" t="s">
        <v>745</v>
      </c>
      <c r="C248" s="19" t="s">
        <v>54</v>
      </c>
      <c r="D248" s="19" t="n">
        <v>62</v>
      </c>
      <c r="E248" s="19" t="s">
        <v>17</v>
      </c>
      <c r="F248" s="19" t="s">
        <v>45</v>
      </c>
      <c r="G248" s="19" t="n">
        <v>3</v>
      </c>
      <c r="H248" s="19" t="n">
        <v>2</v>
      </c>
      <c r="I248" s="19" t="n">
        <v>2</v>
      </c>
      <c r="J248" s="19" t="n">
        <v>0</v>
      </c>
      <c r="K248" s="19" t="s">
        <v>746</v>
      </c>
      <c r="L248" s="21" t="n">
        <v>46271</v>
      </c>
      <c r="M248" s="19" t="s">
        <v>80</v>
      </c>
      <c r="N248" s="22" t="n">
        <f aca="false">MIN(10,H248+I248+2*J248+IF(C248="Female",1,0)+IF(G248&gt;=7,2,IF(G248&gt;=5,1,0))+IF(F248="Tent",1,0))</f>
        <v>6</v>
      </c>
      <c r="O248" s="19" t="str">
        <f aca="false">IF(N248&gt;=6,"High",IF(N248&gt;=3,"Medium","Low"))</f>
        <v>High</v>
      </c>
    </row>
    <row r="249" customFormat="false" ht="15" hidden="false" customHeight="false" outlineLevel="0" collapsed="false">
      <c r="A249" s="19" t="s">
        <v>747</v>
      </c>
      <c r="B249" s="20" t="s">
        <v>748</v>
      </c>
      <c r="C249" s="19" t="s">
        <v>54</v>
      </c>
      <c r="D249" s="19" t="n">
        <v>73</v>
      </c>
      <c r="E249" s="19" t="s">
        <v>16</v>
      </c>
      <c r="F249" s="19" t="s">
        <v>72</v>
      </c>
      <c r="G249" s="19" t="n">
        <v>5</v>
      </c>
      <c r="H249" s="19" t="n">
        <v>1</v>
      </c>
      <c r="I249" s="19" t="n">
        <v>1</v>
      </c>
      <c r="J249" s="19" t="n">
        <v>0</v>
      </c>
      <c r="K249" s="19" t="s">
        <v>749</v>
      </c>
      <c r="L249" s="21" t="n">
        <v>46286</v>
      </c>
      <c r="M249" s="19" t="s">
        <v>66</v>
      </c>
      <c r="N249" s="22" t="n">
        <f aca="false">MIN(10,H249+I249+2*J249+IF(C249="Female",1,0)+IF(G249&gt;=7,2,IF(G249&gt;=5,1,0))+IF(F249="Tent",1,0))</f>
        <v>4</v>
      </c>
      <c r="O249" s="19" t="str">
        <f aca="false">IF(N249&gt;=6,"High",IF(N249&gt;=3,"Medium","Low"))</f>
        <v>Medium</v>
      </c>
    </row>
    <row r="250" customFormat="false" ht="15" hidden="false" customHeight="false" outlineLevel="0" collapsed="false">
      <c r="A250" s="19" t="s">
        <v>750</v>
      </c>
      <c r="B250" s="20" t="s">
        <v>751</v>
      </c>
      <c r="C250" s="19" t="s">
        <v>54</v>
      </c>
      <c r="D250" s="19" t="n">
        <v>78</v>
      </c>
      <c r="E250" s="19" t="s">
        <v>14</v>
      </c>
      <c r="F250" s="19" t="s">
        <v>72</v>
      </c>
      <c r="G250" s="19" t="n">
        <v>7</v>
      </c>
      <c r="H250" s="19" t="n">
        <v>2</v>
      </c>
      <c r="I250" s="19" t="n">
        <v>0</v>
      </c>
      <c r="J250" s="19" t="n">
        <v>0</v>
      </c>
      <c r="K250" s="19" t="s">
        <v>752</v>
      </c>
      <c r="L250" s="21" t="n">
        <v>46272</v>
      </c>
      <c r="M250" s="19" t="s">
        <v>47</v>
      </c>
      <c r="N250" s="22" t="n">
        <f aca="false">MIN(10,H250+I250+2*J250+IF(C250="Female",1,0)+IF(G250&gt;=7,2,IF(G250&gt;=5,1,0))+IF(F250="Tent",1,0))</f>
        <v>5</v>
      </c>
      <c r="O250" s="19" t="str">
        <f aca="false">IF(N250&gt;=6,"High",IF(N250&gt;=3,"Medium","Low"))</f>
        <v>Medium</v>
      </c>
    </row>
    <row r="251" customFormat="false" ht="15" hidden="false" customHeight="false" outlineLevel="0" collapsed="false">
      <c r="A251" s="19" t="s">
        <v>753</v>
      </c>
      <c r="B251" s="20" t="s">
        <v>754</v>
      </c>
      <c r="C251" s="19" t="s">
        <v>44</v>
      </c>
      <c r="D251" s="19" t="n">
        <v>44</v>
      </c>
      <c r="E251" s="19" t="s">
        <v>15</v>
      </c>
      <c r="F251" s="19" t="s">
        <v>50</v>
      </c>
      <c r="G251" s="19" t="n">
        <v>9</v>
      </c>
      <c r="H251" s="19" t="n">
        <v>0</v>
      </c>
      <c r="I251" s="19" t="n">
        <v>0</v>
      </c>
      <c r="J251" s="19" t="n">
        <v>0</v>
      </c>
      <c r="K251" s="19" t="s">
        <v>755</v>
      </c>
      <c r="L251" s="21" t="n">
        <v>46283</v>
      </c>
      <c r="M251" s="19" t="s">
        <v>80</v>
      </c>
      <c r="N251" s="22" t="n">
        <f aca="false">MIN(10,H251+I251+2*J251+IF(C251="Female",1,0)+IF(G251&gt;=7,2,IF(G251&gt;=5,1,0))+IF(F251="Tent",1,0))</f>
        <v>2</v>
      </c>
      <c r="O251" s="19" t="str">
        <f aca="false">IF(N251&gt;=6,"High",IF(N251&gt;=3,"Medium","Low"))</f>
        <v>Low</v>
      </c>
    </row>
    <row r="252" customFormat="false" ht="15" hidden="false" customHeight="false" outlineLevel="0" collapsed="false">
      <c r="A252" s="19" t="s">
        <v>756</v>
      </c>
      <c r="B252" s="20" t="s">
        <v>757</v>
      </c>
      <c r="C252" s="19" t="s">
        <v>44</v>
      </c>
      <c r="D252" s="19" t="n">
        <v>38</v>
      </c>
      <c r="E252" s="19" t="s">
        <v>16</v>
      </c>
      <c r="F252" s="19" t="s">
        <v>50</v>
      </c>
      <c r="G252" s="19" t="n">
        <v>7</v>
      </c>
      <c r="H252" s="19" t="n">
        <v>0</v>
      </c>
      <c r="I252" s="19" t="n">
        <v>0</v>
      </c>
      <c r="J252" s="19" t="n">
        <v>0</v>
      </c>
      <c r="K252" s="19" t="s">
        <v>758</v>
      </c>
      <c r="L252" s="21" t="n">
        <v>46285</v>
      </c>
      <c r="M252" s="19" t="s">
        <v>80</v>
      </c>
      <c r="N252" s="22" t="n">
        <f aca="false">MIN(10,H252+I252+2*J252+IF(C252="Female",1,0)+IF(G252&gt;=7,2,IF(G252&gt;=5,1,0))+IF(F252="Tent",1,0))</f>
        <v>2</v>
      </c>
      <c r="O252" s="19" t="str">
        <f aca="false">IF(N252&gt;=6,"High",IF(N252&gt;=3,"Medium","Low"))</f>
        <v>Low</v>
      </c>
    </row>
    <row r="253" customFormat="false" ht="15" hidden="false" customHeight="false" outlineLevel="0" collapsed="false">
      <c r="A253" s="19" t="s">
        <v>759</v>
      </c>
      <c r="B253" s="20" t="s">
        <v>760</v>
      </c>
      <c r="C253" s="19" t="s">
        <v>44</v>
      </c>
      <c r="D253" s="19" t="n">
        <v>31</v>
      </c>
      <c r="E253" s="19" t="s">
        <v>17</v>
      </c>
      <c r="F253" s="19" t="s">
        <v>45</v>
      </c>
      <c r="G253" s="19" t="n">
        <v>5</v>
      </c>
      <c r="H253" s="19" t="n">
        <v>1</v>
      </c>
      <c r="I253" s="19" t="n">
        <v>1</v>
      </c>
      <c r="J253" s="19" t="n">
        <v>0</v>
      </c>
      <c r="K253" s="19" t="s">
        <v>761</v>
      </c>
      <c r="L253" s="21" t="n">
        <v>46271</v>
      </c>
      <c r="M253" s="19" t="s">
        <v>80</v>
      </c>
      <c r="N253" s="22" t="n">
        <f aca="false">MIN(10,H253+I253+2*J253+IF(C253="Female",1,0)+IF(G253&gt;=7,2,IF(G253&gt;=5,1,0))+IF(F253="Tent",1,0))</f>
        <v>4</v>
      </c>
      <c r="O253" s="19" t="str">
        <f aca="false">IF(N253&gt;=6,"High",IF(N253&gt;=3,"Medium","Low"))</f>
        <v>Medium</v>
      </c>
    </row>
    <row r="254" customFormat="false" ht="15" hidden="false" customHeight="false" outlineLevel="0" collapsed="false">
      <c r="A254" s="19" t="s">
        <v>762</v>
      </c>
      <c r="B254" s="20" t="s">
        <v>418</v>
      </c>
      <c r="C254" s="19" t="s">
        <v>44</v>
      </c>
      <c r="D254" s="19" t="n">
        <v>75</v>
      </c>
      <c r="E254" s="19" t="s">
        <v>18</v>
      </c>
      <c r="F254" s="19" t="s">
        <v>45</v>
      </c>
      <c r="G254" s="19" t="n">
        <v>9</v>
      </c>
      <c r="H254" s="19" t="n">
        <v>1</v>
      </c>
      <c r="I254" s="19" t="n">
        <v>0</v>
      </c>
      <c r="J254" s="19" t="n">
        <v>0</v>
      </c>
      <c r="K254" s="19" t="s">
        <v>763</v>
      </c>
      <c r="L254" s="21" t="n">
        <v>46299</v>
      </c>
      <c r="M254" s="19" t="s">
        <v>47</v>
      </c>
      <c r="N254" s="22" t="n">
        <f aca="false">MIN(10,H254+I254+2*J254+IF(C254="Female",1,0)+IF(G254&gt;=7,2,IF(G254&gt;=5,1,0))+IF(F254="Tent",1,0))</f>
        <v>4</v>
      </c>
      <c r="O254" s="19" t="str">
        <f aca="false">IF(N254&gt;=6,"High",IF(N254&gt;=3,"Medium","Low"))</f>
        <v>Medium</v>
      </c>
    </row>
    <row r="255" customFormat="false" ht="15" hidden="false" customHeight="false" outlineLevel="0" collapsed="false">
      <c r="A255" s="19" t="s">
        <v>764</v>
      </c>
      <c r="B255" s="20" t="s">
        <v>350</v>
      </c>
      <c r="C255" s="19" t="s">
        <v>44</v>
      </c>
      <c r="D255" s="19" t="n">
        <v>44</v>
      </c>
      <c r="E255" s="19" t="s">
        <v>14</v>
      </c>
      <c r="F255" s="19" t="s">
        <v>50</v>
      </c>
      <c r="G255" s="19" t="n">
        <v>2</v>
      </c>
      <c r="H255" s="19" t="n">
        <v>0</v>
      </c>
      <c r="I255" s="19" t="n">
        <v>0</v>
      </c>
      <c r="J255" s="19" t="n">
        <v>0</v>
      </c>
      <c r="K255" s="19" t="s">
        <v>765</v>
      </c>
      <c r="L255" s="21" t="n">
        <v>46298</v>
      </c>
      <c r="M255" s="19" t="s">
        <v>47</v>
      </c>
      <c r="N255" s="22" t="n">
        <f aca="false">MIN(10,H255+I255+2*J255+IF(C255="Female",1,0)+IF(G255&gt;=7,2,IF(G255&gt;=5,1,0))+IF(F255="Tent",1,0))</f>
        <v>0</v>
      </c>
      <c r="O255" s="19" t="str">
        <f aca="false">IF(N255&gt;=6,"High",IF(N255&gt;=3,"Medium","Low"))</f>
        <v>Low</v>
      </c>
    </row>
    <row r="256" customFormat="false" ht="15" hidden="false" customHeight="false" outlineLevel="0" collapsed="false">
      <c r="A256" s="19" t="s">
        <v>766</v>
      </c>
      <c r="B256" s="20" t="s">
        <v>767</v>
      </c>
      <c r="C256" s="19" t="s">
        <v>44</v>
      </c>
      <c r="D256" s="19" t="n">
        <v>37</v>
      </c>
      <c r="E256" s="19" t="s">
        <v>14</v>
      </c>
      <c r="F256" s="19" t="s">
        <v>45</v>
      </c>
      <c r="G256" s="19" t="n">
        <v>11</v>
      </c>
      <c r="H256" s="19" t="n">
        <v>1</v>
      </c>
      <c r="I256" s="19" t="n">
        <v>0</v>
      </c>
      <c r="J256" s="19" t="n">
        <v>0</v>
      </c>
      <c r="K256" s="19" t="s">
        <v>768</v>
      </c>
      <c r="L256" s="21" t="n">
        <v>46271</v>
      </c>
      <c r="M256" s="19" t="s">
        <v>47</v>
      </c>
      <c r="N256" s="22" t="n">
        <f aca="false">MIN(10,H256+I256+2*J256+IF(C256="Female",1,0)+IF(G256&gt;=7,2,IF(G256&gt;=5,1,0))+IF(F256="Tent",1,0))</f>
        <v>4</v>
      </c>
      <c r="O256" s="19" t="str">
        <f aca="false">IF(N256&gt;=6,"High",IF(N256&gt;=3,"Medium","Low"))</f>
        <v>Medium</v>
      </c>
    </row>
    <row r="257" customFormat="false" ht="15" hidden="false" customHeight="false" outlineLevel="0" collapsed="false">
      <c r="A257" s="19" t="s">
        <v>769</v>
      </c>
      <c r="B257" s="20" t="s">
        <v>770</v>
      </c>
      <c r="C257" s="19" t="s">
        <v>44</v>
      </c>
      <c r="D257" s="19" t="n">
        <v>49</v>
      </c>
      <c r="E257" s="19" t="s">
        <v>15</v>
      </c>
      <c r="F257" s="19" t="s">
        <v>50</v>
      </c>
      <c r="G257" s="19" t="n">
        <v>7</v>
      </c>
      <c r="H257" s="19" t="n">
        <v>1</v>
      </c>
      <c r="I257" s="19" t="n">
        <v>0</v>
      </c>
      <c r="J257" s="19" t="n">
        <v>0</v>
      </c>
      <c r="K257" s="19" t="s">
        <v>771</v>
      </c>
      <c r="L257" s="21" t="n">
        <v>46266</v>
      </c>
      <c r="M257" s="19" t="s">
        <v>80</v>
      </c>
      <c r="N257" s="22" t="n">
        <f aca="false">MIN(10,H257+I257+2*J257+IF(C257="Female",1,0)+IF(G257&gt;=7,2,IF(G257&gt;=5,1,0))+IF(F257="Tent",1,0))</f>
        <v>3</v>
      </c>
      <c r="O257" s="19" t="str">
        <f aca="false">IF(N257&gt;=6,"High",IF(N257&gt;=3,"Medium","Low"))</f>
        <v>Medium</v>
      </c>
    </row>
    <row r="258" customFormat="false" ht="15" hidden="false" customHeight="false" outlineLevel="0" collapsed="false">
      <c r="A258" s="19" t="s">
        <v>772</v>
      </c>
      <c r="B258" s="20" t="s">
        <v>773</v>
      </c>
      <c r="C258" s="19" t="s">
        <v>54</v>
      </c>
      <c r="D258" s="19" t="n">
        <v>48</v>
      </c>
      <c r="E258" s="19" t="s">
        <v>16</v>
      </c>
      <c r="F258" s="19" t="s">
        <v>45</v>
      </c>
      <c r="G258" s="19" t="n">
        <v>9</v>
      </c>
      <c r="H258" s="19" t="n">
        <v>0</v>
      </c>
      <c r="I258" s="19" t="n">
        <v>2</v>
      </c>
      <c r="J258" s="19" t="n">
        <v>0</v>
      </c>
      <c r="K258" s="19" t="s">
        <v>774</v>
      </c>
      <c r="L258" s="21" t="n">
        <v>46288</v>
      </c>
      <c r="M258" s="19" t="s">
        <v>47</v>
      </c>
      <c r="N258" s="22" t="n">
        <f aca="false">MIN(10,H258+I258+2*J258+IF(C258="Female",1,0)+IF(G258&gt;=7,2,IF(G258&gt;=5,1,0))+IF(F258="Tent",1,0))</f>
        <v>6</v>
      </c>
      <c r="O258" s="19" t="str">
        <f aca="false">IF(N258&gt;=6,"High",IF(N258&gt;=3,"Medium","Low"))</f>
        <v>High</v>
      </c>
    </row>
    <row r="259" customFormat="false" ht="15" hidden="false" customHeight="false" outlineLevel="0" collapsed="false">
      <c r="A259" s="19" t="s">
        <v>775</v>
      </c>
      <c r="B259" s="20" t="s">
        <v>776</v>
      </c>
      <c r="C259" s="19" t="s">
        <v>44</v>
      </c>
      <c r="D259" s="19" t="n">
        <v>57</v>
      </c>
      <c r="E259" s="19" t="s">
        <v>16</v>
      </c>
      <c r="F259" s="19" t="s">
        <v>45</v>
      </c>
      <c r="G259" s="19" t="n">
        <v>7</v>
      </c>
      <c r="H259" s="19" t="n">
        <v>0</v>
      </c>
      <c r="I259" s="19" t="n">
        <v>2</v>
      </c>
      <c r="J259" s="19" t="n">
        <v>1</v>
      </c>
      <c r="K259" s="19" t="s">
        <v>777</v>
      </c>
      <c r="L259" s="21" t="n">
        <v>46304</v>
      </c>
      <c r="M259" s="19" t="s">
        <v>47</v>
      </c>
      <c r="N259" s="22" t="n">
        <f aca="false">MIN(10,H259+I259+2*J259+IF(C259="Female",1,0)+IF(G259&gt;=7,2,IF(G259&gt;=5,1,0))+IF(F259="Tent",1,0))</f>
        <v>7</v>
      </c>
      <c r="O259" s="19" t="str">
        <f aca="false">IF(N259&gt;=6,"High",IF(N259&gt;=3,"Medium","Low"))</f>
        <v>High</v>
      </c>
    </row>
    <row r="260" customFormat="false" ht="15" hidden="false" customHeight="false" outlineLevel="0" collapsed="false">
      <c r="A260" s="19" t="s">
        <v>778</v>
      </c>
      <c r="B260" s="20" t="s">
        <v>779</v>
      </c>
      <c r="C260" s="19" t="s">
        <v>54</v>
      </c>
      <c r="D260" s="19" t="n">
        <v>67</v>
      </c>
      <c r="E260" s="19" t="s">
        <v>15</v>
      </c>
      <c r="F260" s="19" t="s">
        <v>55</v>
      </c>
      <c r="G260" s="19" t="n">
        <v>9</v>
      </c>
      <c r="H260" s="19" t="n">
        <v>0</v>
      </c>
      <c r="I260" s="19" t="n">
        <v>1</v>
      </c>
      <c r="J260" s="19" t="n">
        <v>1</v>
      </c>
      <c r="K260" s="19" t="s">
        <v>780</v>
      </c>
      <c r="L260" s="21" t="n">
        <v>46299</v>
      </c>
      <c r="M260" s="19" t="s">
        <v>80</v>
      </c>
      <c r="N260" s="22" t="n">
        <f aca="false">MIN(10,H260+I260+2*J260+IF(C260="Female",1,0)+IF(G260&gt;=7,2,IF(G260&gt;=5,1,0))+IF(F260="Tent",1,0))</f>
        <v>6</v>
      </c>
      <c r="O260" s="19" t="str">
        <f aca="false">IF(N260&gt;=6,"High",IF(N260&gt;=3,"Medium","Low"))</f>
        <v>High</v>
      </c>
    </row>
    <row r="261" customFormat="false" ht="15" hidden="false" customHeight="false" outlineLevel="0" collapsed="false">
      <c r="A261" s="19" t="s">
        <v>781</v>
      </c>
      <c r="B261" s="20" t="s">
        <v>776</v>
      </c>
      <c r="C261" s="19" t="s">
        <v>44</v>
      </c>
      <c r="D261" s="19" t="n">
        <v>43</v>
      </c>
      <c r="E261" s="19" t="s">
        <v>14</v>
      </c>
      <c r="F261" s="19" t="s">
        <v>72</v>
      </c>
      <c r="G261" s="19" t="n">
        <v>7</v>
      </c>
      <c r="H261" s="19" t="n">
        <v>1</v>
      </c>
      <c r="I261" s="19" t="n">
        <v>1</v>
      </c>
      <c r="J261" s="19" t="n">
        <v>0</v>
      </c>
      <c r="K261" s="19" t="s">
        <v>782</v>
      </c>
      <c r="L261" s="21" t="n">
        <v>46291</v>
      </c>
      <c r="M261" s="19" t="s">
        <v>66</v>
      </c>
      <c r="N261" s="22" t="n">
        <f aca="false">MIN(10,H261+I261+2*J261+IF(C261="Female",1,0)+IF(G261&gt;=7,2,IF(G261&gt;=5,1,0))+IF(F261="Tent",1,0))</f>
        <v>4</v>
      </c>
      <c r="O261" s="19" t="str">
        <f aca="false">IF(N261&gt;=6,"High",IF(N261&gt;=3,"Medium","Low"))</f>
        <v>Medium</v>
      </c>
    </row>
    <row r="262" customFormat="false" ht="15" hidden="false" customHeight="false" outlineLevel="0" collapsed="false">
      <c r="A262" s="19" t="s">
        <v>783</v>
      </c>
      <c r="B262" s="20" t="s">
        <v>112</v>
      </c>
      <c r="C262" s="19" t="s">
        <v>44</v>
      </c>
      <c r="D262" s="19" t="n">
        <v>72</v>
      </c>
      <c r="E262" s="19" t="s">
        <v>18</v>
      </c>
      <c r="F262" s="19" t="s">
        <v>45</v>
      </c>
      <c r="G262" s="19" t="n">
        <v>7</v>
      </c>
      <c r="H262" s="19" t="n">
        <v>1</v>
      </c>
      <c r="I262" s="19" t="n">
        <v>0</v>
      </c>
      <c r="J262" s="19" t="n">
        <v>1</v>
      </c>
      <c r="K262" s="19" t="s">
        <v>784</v>
      </c>
      <c r="L262" s="21" t="n">
        <v>46276</v>
      </c>
      <c r="M262" s="19" t="s">
        <v>47</v>
      </c>
      <c r="N262" s="22" t="n">
        <f aca="false">MIN(10,H262+I262+2*J262+IF(C262="Female",1,0)+IF(G262&gt;=7,2,IF(G262&gt;=5,1,0))+IF(F262="Tent",1,0))</f>
        <v>6</v>
      </c>
      <c r="O262" s="19" t="str">
        <f aca="false">IF(N262&gt;=6,"High",IF(N262&gt;=3,"Medium","Low"))</f>
        <v>High</v>
      </c>
    </row>
    <row r="263" customFormat="false" ht="15" hidden="false" customHeight="false" outlineLevel="0" collapsed="false">
      <c r="A263" s="19" t="s">
        <v>785</v>
      </c>
      <c r="B263" s="20" t="s">
        <v>786</v>
      </c>
      <c r="C263" s="19" t="s">
        <v>54</v>
      </c>
      <c r="D263" s="19" t="n">
        <v>66</v>
      </c>
      <c r="E263" s="19" t="s">
        <v>16</v>
      </c>
      <c r="F263" s="19" t="s">
        <v>45</v>
      </c>
      <c r="G263" s="19" t="n">
        <v>8</v>
      </c>
      <c r="H263" s="19" t="n">
        <v>0</v>
      </c>
      <c r="I263" s="19" t="n">
        <v>0</v>
      </c>
      <c r="J263" s="19" t="n">
        <v>0</v>
      </c>
      <c r="K263" s="19" t="s">
        <v>787</v>
      </c>
      <c r="L263" s="21" t="n">
        <v>46280</v>
      </c>
      <c r="M263" s="19" t="s">
        <v>80</v>
      </c>
      <c r="N263" s="22" t="n">
        <f aca="false">MIN(10,H263+I263+2*J263+IF(C263="Female",1,0)+IF(G263&gt;=7,2,IF(G263&gt;=5,1,0))+IF(F263="Tent",1,0))</f>
        <v>4</v>
      </c>
      <c r="O263" s="19" t="str">
        <f aca="false">IF(N263&gt;=6,"High",IF(N263&gt;=3,"Medium","Low"))</f>
        <v>Medium</v>
      </c>
    </row>
    <row r="264" customFormat="false" ht="15" hidden="false" customHeight="false" outlineLevel="0" collapsed="false">
      <c r="A264" s="19" t="s">
        <v>788</v>
      </c>
      <c r="B264" s="20" t="s">
        <v>789</v>
      </c>
      <c r="C264" s="19" t="s">
        <v>44</v>
      </c>
      <c r="D264" s="19" t="n">
        <v>75</v>
      </c>
      <c r="E264" s="19" t="s">
        <v>15</v>
      </c>
      <c r="F264" s="19" t="s">
        <v>72</v>
      </c>
      <c r="G264" s="19" t="n">
        <v>6</v>
      </c>
      <c r="H264" s="19" t="n">
        <v>0</v>
      </c>
      <c r="I264" s="19" t="n">
        <v>0</v>
      </c>
      <c r="J264" s="19" t="n">
        <v>0</v>
      </c>
      <c r="K264" s="19" t="s">
        <v>790</v>
      </c>
      <c r="L264" s="21" t="n">
        <v>46296</v>
      </c>
      <c r="M264" s="19" t="s">
        <v>80</v>
      </c>
      <c r="N264" s="22" t="n">
        <f aca="false">MIN(10,H264+I264+2*J264+IF(C264="Female",1,0)+IF(G264&gt;=7,2,IF(G264&gt;=5,1,0))+IF(F264="Tent",1,0))</f>
        <v>1</v>
      </c>
      <c r="O264" s="19" t="str">
        <f aca="false">IF(N264&gt;=6,"High",IF(N264&gt;=3,"Medium","Low"))</f>
        <v>Low</v>
      </c>
    </row>
    <row r="265" customFormat="false" ht="15" hidden="false" customHeight="false" outlineLevel="0" collapsed="false">
      <c r="A265" s="19" t="s">
        <v>791</v>
      </c>
      <c r="B265" s="20" t="s">
        <v>383</v>
      </c>
      <c r="C265" s="19" t="s">
        <v>44</v>
      </c>
      <c r="D265" s="19" t="n">
        <v>39</v>
      </c>
      <c r="E265" s="19" t="s">
        <v>15</v>
      </c>
      <c r="F265" s="19" t="s">
        <v>50</v>
      </c>
      <c r="G265" s="19" t="n">
        <v>2</v>
      </c>
      <c r="H265" s="19" t="n">
        <v>1</v>
      </c>
      <c r="I265" s="19" t="n">
        <v>0</v>
      </c>
      <c r="J265" s="19" t="n">
        <v>0</v>
      </c>
      <c r="K265" s="19" t="s">
        <v>792</v>
      </c>
      <c r="L265" s="21" t="n">
        <v>46275</v>
      </c>
      <c r="M265" s="19" t="s">
        <v>47</v>
      </c>
      <c r="N265" s="22" t="n">
        <f aca="false">MIN(10,H265+I265+2*J265+IF(C265="Female",1,0)+IF(G265&gt;=7,2,IF(G265&gt;=5,1,0))+IF(F265="Tent",1,0))</f>
        <v>1</v>
      </c>
      <c r="O265" s="19" t="str">
        <f aca="false">IF(N265&gt;=6,"High",IF(N265&gt;=3,"Medium","Low"))</f>
        <v>Low</v>
      </c>
    </row>
    <row r="266" customFormat="false" ht="15" hidden="false" customHeight="false" outlineLevel="0" collapsed="false">
      <c r="A266" s="19" t="s">
        <v>793</v>
      </c>
      <c r="B266" s="20" t="s">
        <v>794</v>
      </c>
      <c r="C266" s="19" t="s">
        <v>44</v>
      </c>
      <c r="D266" s="19" t="n">
        <v>50</v>
      </c>
      <c r="E266" s="19" t="s">
        <v>14</v>
      </c>
      <c r="F266" s="19" t="s">
        <v>45</v>
      </c>
      <c r="G266" s="19" t="n">
        <v>7</v>
      </c>
      <c r="H266" s="19" t="n">
        <v>0</v>
      </c>
      <c r="I266" s="19" t="n">
        <v>0</v>
      </c>
      <c r="J266" s="19" t="n">
        <v>0</v>
      </c>
      <c r="K266" s="19" t="s">
        <v>795</v>
      </c>
      <c r="L266" s="21" t="n">
        <v>46276</v>
      </c>
      <c r="M266" s="19" t="s">
        <v>47</v>
      </c>
      <c r="N266" s="22" t="n">
        <f aca="false">MIN(10,H266+I266+2*J266+IF(C266="Female",1,0)+IF(G266&gt;=7,2,IF(G266&gt;=5,1,0))+IF(F266="Tent",1,0))</f>
        <v>3</v>
      </c>
      <c r="O266" s="19" t="str">
        <f aca="false">IF(N266&gt;=6,"High",IF(N266&gt;=3,"Medium","Low"))</f>
        <v>Medium</v>
      </c>
    </row>
    <row r="267" customFormat="false" ht="15" hidden="false" customHeight="false" outlineLevel="0" collapsed="false">
      <c r="A267" s="19" t="s">
        <v>796</v>
      </c>
      <c r="B267" s="20" t="s">
        <v>797</v>
      </c>
      <c r="C267" s="19" t="s">
        <v>44</v>
      </c>
      <c r="D267" s="19" t="n">
        <v>31</v>
      </c>
      <c r="E267" s="19" t="s">
        <v>14</v>
      </c>
      <c r="F267" s="19" t="s">
        <v>50</v>
      </c>
      <c r="G267" s="19" t="n">
        <v>5</v>
      </c>
      <c r="H267" s="19" t="n">
        <v>0</v>
      </c>
      <c r="I267" s="19" t="n">
        <v>0</v>
      </c>
      <c r="J267" s="19" t="n">
        <v>0</v>
      </c>
      <c r="K267" s="19" t="s">
        <v>798</v>
      </c>
      <c r="L267" s="21" t="n">
        <v>46299</v>
      </c>
      <c r="M267" s="19" t="s">
        <v>80</v>
      </c>
      <c r="N267" s="22" t="n">
        <f aca="false">MIN(10,H267+I267+2*J267+IF(C267="Female",1,0)+IF(G267&gt;=7,2,IF(G267&gt;=5,1,0))+IF(F267="Tent",1,0))</f>
        <v>1</v>
      </c>
      <c r="O267" s="19" t="str">
        <f aca="false">IF(N267&gt;=6,"High",IF(N267&gt;=3,"Medium","Low"))</f>
        <v>Low</v>
      </c>
    </row>
    <row r="268" customFormat="false" ht="15" hidden="false" customHeight="false" outlineLevel="0" collapsed="false">
      <c r="A268" s="19" t="s">
        <v>799</v>
      </c>
      <c r="B268" s="20" t="s">
        <v>545</v>
      </c>
      <c r="C268" s="19" t="s">
        <v>54</v>
      </c>
      <c r="D268" s="19" t="n">
        <v>37</v>
      </c>
      <c r="E268" s="19" t="s">
        <v>17</v>
      </c>
      <c r="F268" s="19" t="s">
        <v>50</v>
      </c>
      <c r="G268" s="19" t="n">
        <v>5</v>
      </c>
      <c r="H268" s="19" t="n">
        <v>0</v>
      </c>
      <c r="I268" s="19" t="n">
        <v>0</v>
      </c>
      <c r="J268" s="19" t="n">
        <v>0</v>
      </c>
      <c r="K268" s="19" t="s">
        <v>800</v>
      </c>
      <c r="L268" s="21" t="n">
        <v>46285</v>
      </c>
      <c r="M268" s="19" t="s">
        <v>47</v>
      </c>
      <c r="N268" s="22" t="n">
        <f aca="false">MIN(10,H268+I268+2*J268+IF(C268="Female",1,0)+IF(G268&gt;=7,2,IF(G268&gt;=5,1,0))+IF(F268="Tent",1,0))</f>
        <v>2</v>
      </c>
      <c r="O268" s="19" t="str">
        <f aca="false">IF(N268&gt;=6,"High",IF(N268&gt;=3,"Medium","Low"))</f>
        <v>Low</v>
      </c>
    </row>
    <row r="269" customFormat="false" ht="15" hidden="false" customHeight="false" outlineLevel="0" collapsed="false">
      <c r="A269" s="19" t="s">
        <v>801</v>
      </c>
      <c r="B269" s="20" t="s">
        <v>802</v>
      </c>
      <c r="C269" s="19" t="s">
        <v>44</v>
      </c>
      <c r="D269" s="19" t="n">
        <v>65</v>
      </c>
      <c r="E269" s="19" t="s">
        <v>15</v>
      </c>
      <c r="F269" s="19" t="s">
        <v>45</v>
      </c>
      <c r="G269" s="19" t="n">
        <v>11</v>
      </c>
      <c r="H269" s="19" t="n">
        <v>1</v>
      </c>
      <c r="I269" s="19" t="n">
        <v>1</v>
      </c>
      <c r="J269" s="19" t="n">
        <v>0</v>
      </c>
      <c r="K269" s="19" t="s">
        <v>803</v>
      </c>
      <c r="L269" s="21" t="n">
        <v>46280</v>
      </c>
      <c r="M269" s="19" t="s">
        <v>47</v>
      </c>
      <c r="N269" s="22" t="n">
        <f aca="false">MIN(10,H269+I269+2*J269+IF(C269="Female",1,0)+IF(G269&gt;=7,2,IF(G269&gt;=5,1,0))+IF(F269="Tent",1,0))</f>
        <v>5</v>
      </c>
      <c r="O269" s="19" t="str">
        <f aca="false">IF(N269&gt;=6,"High",IF(N269&gt;=3,"Medium","Low"))</f>
        <v>Medium</v>
      </c>
    </row>
    <row r="270" customFormat="false" ht="15" hidden="false" customHeight="false" outlineLevel="0" collapsed="false">
      <c r="A270" s="19" t="s">
        <v>804</v>
      </c>
      <c r="B270" s="20" t="s">
        <v>805</v>
      </c>
      <c r="C270" s="19" t="s">
        <v>44</v>
      </c>
      <c r="D270" s="19" t="n">
        <v>22</v>
      </c>
      <c r="E270" s="19" t="s">
        <v>14</v>
      </c>
      <c r="F270" s="19" t="s">
        <v>50</v>
      </c>
      <c r="G270" s="19" t="n">
        <v>8</v>
      </c>
      <c r="H270" s="19" t="n">
        <v>2</v>
      </c>
      <c r="I270" s="19" t="n">
        <v>0</v>
      </c>
      <c r="J270" s="19" t="n">
        <v>0</v>
      </c>
      <c r="K270" s="19" t="s">
        <v>806</v>
      </c>
      <c r="L270" s="21" t="n">
        <v>46304</v>
      </c>
      <c r="M270" s="19" t="s">
        <v>47</v>
      </c>
      <c r="N270" s="22" t="n">
        <f aca="false">MIN(10,H270+I270+2*J270+IF(C270="Female",1,0)+IF(G270&gt;=7,2,IF(G270&gt;=5,1,0))+IF(F270="Tent",1,0))</f>
        <v>4</v>
      </c>
      <c r="O270" s="19" t="str">
        <f aca="false">IF(N270&gt;=6,"High",IF(N270&gt;=3,"Medium","Low"))</f>
        <v>Medium</v>
      </c>
    </row>
    <row r="271" customFormat="false" ht="15" hidden="false" customHeight="false" outlineLevel="0" collapsed="false">
      <c r="A271" s="19" t="s">
        <v>807</v>
      </c>
      <c r="B271" s="20" t="s">
        <v>808</v>
      </c>
      <c r="C271" s="19" t="s">
        <v>44</v>
      </c>
      <c r="D271" s="19" t="n">
        <v>61</v>
      </c>
      <c r="E271" s="19" t="s">
        <v>18</v>
      </c>
      <c r="F271" s="19" t="s">
        <v>45</v>
      </c>
      <c r="G271" s="19" t="n">
        <v>5</v>
      </c>
      <c r="H271" s="19" t="n">
        <v>1</v>
      </c>
      <c r="I271" s="19" t="n">
        <v>0</v>
      </c>
      <c r="J271" s="19" t="n">
        <v>0</v>
      </c>
      <c r="K271" s="19" t="s">
        <v>809</v>
      </c>
      <c r="L271" s="21" t="n">
        <v>46272</v>
      </c>
      <c r="M271" s="19" t="s">
        <v>80</v>
      </c>
      <c r="N271" s="22" t="n">
        <f aca="false">MIN(10,H271+I271+2*J271+IF(C271="Female",1,0)+IF(G271&gt;=7,2,IF(G271&gt;=5,1,0))+IF(F271="Tent",1,0))</f>
        <v>3</v>
      </c>
      <c r="O271" s="19" t="str">
        <f aca="false">IF(N271&gt;=6,"High",IF(N271&gt;=3,"Medium","Low"))</f>
        <v>Medium</v>
      </c>
    </row>
    <row r="272" customFormat="false" ht="15" hidden="false" customHeight="false" outlineLevel="0" collapsed="false">
      <c r="A272" s="19" t="s">
        <v>810</v>
      </c>
      <c r="B272" s="20" t="s">
        <v>811</v>
      </c>
      <c r="C272" s="19" t="s">
        <v>54</v>
      </c>
      <c r="D272" s="19" t="n">
        <v>68</v>
      </c>
      <c r="E272" s="19" t="s">
        <v>16</v>
      </c>
      <c r="F272" s="19" t="s">
        <v>50</v>
      </c>
      <c r="G272" s="19" t="n">
        <v>6</v>
      </c>
      <c r="H272" s="19" t="n">
        <v>1</v>
      </c>
      <c r="I272" s="19" t="n">
        <v>0</v>
      </c>
      <c r="J272" s="19" t="n">
        <v>0</v>
      </c>
      <c r="K272" s="19" t="s">
        <v>812</v>
      </c>
      <c r="L272" s="21" t="n">
        <v>46278</v>
      </c>
      <c r="M272" s="19" t="s">
        <v>66</v>
      </c>
      <c r="N272" s="22" t="n">
        <f aca="false">MIN(10,H272+I272+2*J272+IF(C272="Female",1,0)+IF(G272&gt;=7,2,IF(G272&gt;=5,1,0))+IF(F272="Tent",1,0))</f>
        <v>3</v>
      </c>
      <c r="O272" s="19" t="str">
        <f aca="false">IF(N272&gt;=6,"High",IF(N272&gt;=3,"Medium","Low"))</f>
        <v>Medium</v>
      </c>
    </row>
    <row r="273" customFormat="false" ht="15" hidden="false" customHeight="false" outlineLevel="0" collapsed="false">
      <c r="A273" s="19" t="s">
        <v>813</v>
      </c>
      <c r="B273" s="20" t="s">
        <v>814</v>
      </c>
      <c r="C273" s="19" t="s">
        <v>44</v>
      </c>
      <c r="D273" s="19" t="n">
        <v>19</v>
      </c>
      <c r="E273" s="19" t="s">
        <v>14</v>
      </c>
      <c r="F273" s="19" t="s">
        <v>55</v>
      </c>
      <c r="G273" s="19" t="n">
        <v>3</v>
      </c>
      <c r="H273" s="19" t="n">
        <v>1</v>
      </c>
      <c r="I273" s="19" t="n">
        <v>1</v>
      </c>
      <c r="J273" s="19" t="n">
        <v>0</v>
      </c>
      <c r="K273" s="19" t="s">
        <v>815</v>
      </c>
      <c r="L273" s="21" t="n">
        <v>46266</v>
      </c>
      <c r="M273" s="19" t="s">
        <v>80</v>
      </c>
      <c r="N273" s="22" t="n">
        <f aca="false">MIN(10,H273+I273+2*J273+IF(C273="Female",1,0)+IF(G273&gt;=7,2,IF(G273&gt;=5,1,0))+IF(F273="Tent",1,0))</f>
        <v>2</v>
      </c>
      <c r="O273" s="19" t="str">
        <f aca="false">IF(N273&gt;=6,"High",IF(N273&gt;=3,"Medium","Low"))</f>
        <v>Low</v>
      </c>
    </row>
    <row r="274" customFormat="false" ht="15" hidden="false" customHeight="false" outlineLevel="0" collapsed="false">
      <c r="A274" s="19" t="s">
        <v>816</v>
      </c>
      <c r="B274" s="20" t="s">
        <v>220</v>
      </c>
      <c r="C274" s="19" t="s">
        <v>44</v>
      </c>
      <c r="D274" s="19" t="n">
        <v>48</v>
      </c>
      <c r="E274" s="19" t="s">
        <v>14</v>
      </c>
      <c r="F274" s="19" t="s">
        <v>45</v>
      </c>
      <c r="G274" s="19" t="n">
        <v>8</v>
      </c>
      <c r="H274" s="19" t="n">
        <v>0</v>
      </c>
      <c r="I274" s="19" t="n">
        <v>1</v>
      </c>
      <c r="J274" s="19" t="n">
        <v>1</v>
      </c>
      <c r="K274" s="19" t="s">
        <v>817</v>
      </c>
      <c r="L274" s="21" t="n">
        <v>46282</v>
      </c>
      <c r="M274" s="19" t="s">
        <v>47</v>
      </c>
      <c r="N274" s="22" t="n">
        <f aca="false">MIN(10,H274+I274+2*J274+IF(C274="Female",1,0)+IF(G274&gt;=7,2,IF(G274&gt;=5,1,0))+IF(F274="Tent",1,0))</f>
        <v>6</v>
      </c>
      <c r="O274" s="19" t="str">
        <f aca="false">IF(N274&gt;=6,"High",IF(N274&gt;=3,"Medium","Low"))</f>
        <v>High</v>
      </c>
    </row>
    <row r="275" customFormat="false" ht="15" hidden="false" customHeight="false" outlineLevel="0" collapsed="false">
      <c r="A275" s="19" t="s">
        <v>818</v>
      </c>
      <c r="B275" s="20" t="s">
        <v>819</v>
      </c>
      <c r="C275" s="19" t="s">
        <v>54</v>
      </c>
      <c r="D275" s="19" t="n">
        <v>61</v>
      </c>
      <c r="E275" s="19" t="s">
        <v>15</v>
      </c>
      <c r="F275" s="19" t="s">
        <v>45</v>
      </c>
      <c r="G275" s="19" t="n">
        <v>9</v>
      </c>
      <c r="H275" s="19" t="n">
        <v>0</v>
      </c>
      <c r="I275" s="19" t="n">
        <v>1</v>
      </c>
      <c r="J275" s="19" t="n">
        <v>0</v>
      </c>
      <c r="K275" s="19" t="s">
        <v>820</v>
      </c>
      <c r="L275" s="21" t="n">
        <v>46274</v>
      </c>
      <c r="M275" s="19" t="s">
        <v>80</v>
      </c>
      <c r="N275" s="22" t="n">
        <f aca="false">MIN(10,H275+I275+2*J275+IF(C275="Female",1,0)+IF(G275&gt;=7,2,IF(G275&gt;=5,1,0))+IF(F275="Tent",1,0))</f>
        <v>5</v>
      </c>
      <c r="O275" s="19" t="str">
        <f aca="false">IF(N275&gt;=6,"High",IF(N275&gt;=3,"Medium","Low"))</f>
        <v>Medium</v>
      </c>
    </row>
    <row r="276" customFormat="false" ht="15" hidden="false" customHeight="false" outlineLevel="0" collapsed="false">
      <c r="A276" s="19" t="s">
        <v>821</v>
      </c>
      <c r="B276" s="20" t="s">
        <v>822</v>
      </c>
      <c r="C276" s="19" t="s">
        <v>44</v>
      </c>
      <c r="D276" s="19" t="n">
        <v>63</v>
      </c>
      <c r="E276" s="19" t="s">
        <v>17</v>
      </c>
      <c r="F276" s="19" t="s">
        <v>50</v>
      </c>
      <c r="G276" s="19" t="n">
        <v>5</v>
      </c>
      <c r="H276" s="19" t="n">
        <v>0</v>
      </c>
      <c r="I276" s="19" t="n">
        <v>0</v>
      </c>
      <c r="J276" s="19" t="n">
        <v>0</v>
      </c>
      <c r="K276" s="19" t="s">
        <v>823</v>
      </c>
      <c r="L276" s="21" t="n">
        <v>46290</v>
      </c>
      <c r="M276" s="19" t="s">
        <v>80</v>
      </c>
      <c r="N276" s="22" t="n">
        <f aca="false">MIN(10,H276+I276+2*J276+IF(C276="Female",1,0)+IF(G276&gt;=7,2,IF(G276&gt;=5,1,0))+IF(F276="Tent",1,0))</f>
        <v>1</v>
      </c>
      <c r="O276" s="19" t="str">
        <f aca="false">IF(N276&gt;=6,"High",IF(N276&gt;=3,"Medium","Low"))</f>
        <v>Low</v>
      </c>
    </row>
    <row r="277" customFormat="false" ht="15" hidden="false" customHeight="false" outlineLevel="0" collapsed="false">
      <c r="A277" s="19" t="s">
        <v>824</v>
      </c>
      <c r="B277" s="20" t="s">
        <v>118</v>
      </c>
      <c r="C277" s="19" t="s">
        <v>44</v>
      </c>
      <c r="D277" s="19" t="n">
        <v>62</v>
      </c>
      <c r="E277" s="19" t="s">
        <v>17</v>
      </c>
      <c r="F277" s="19" t="s">
        <v>45</v>
      </c>
      <c r="G277" s="19" t="n">
        <v>7</v>
      </c>
      <c r="H277" s="19" t="n">
        <v>0</v>
      </c>
      <c r="I277" s="19" t="n">
        <v>2</v>
      </c>
      <c r="J277" s="19" t="n">
        <v>0</v>
      </c>
      <c r="K277" s="19" t="s">
        <v>825</v>
      </c>
      <c r="L277" s="21" t="n">
        <v>46302</v>
      </c>
      <c r="M277" s="19" t="s">
        <v>47</v>
      </c>
      <c r="N277" s="22" t="n">
        <f aca="false">MIN(10,H277+I277+2*J277+IF(C277="Female",1,0)+IF(G277&gt;=7,2,IF(G277&gt;=5,1,0))+IF(F277="Tent",1,0))</f>
        <v>5</v>
      </c>
      <c r="O277" s="19" t="str">
        <f aca="false">IF(N277&gt;=6,"High",IF(N277&gt;=3,"Medium","Low"))</f>
        <v>Medium</v>
      </c>
    </row>
    <row r="278" customFormat="false" ht="15" hidden="false" customHeight="false" outlineLevel="0" collapsed="false">
      <c r="A278" s="19" t="s">
        <v>826</v>
      </c>
      <c r="B278" s="20" t="s">
        <v>403</v>
      </c>
      <c r="C278" s="19" t="s">
        <v>44</v>
      </c>
      <c r="D278" s="19" t="n">
        <v>19</v>
      </c>
      <c r="E278" s="19" t="s">
        <v>18</v>
      </c>
      <c r="F278" s="19" t="s">
        <v>50</v>
      </c>
      <c r="G278" s="19" t="n">
        <v>6</v>
      </c>
      <c r="H278" s="19" t="n">
        <v>1</v>
      </c>
      <c r="I278" s="19" t="n">
        <v>1</v>
      </c>
      <c r="J278" s="19" t="n">
        <v>0</v>
      </c>
      <c r="K278" s="19" t="s">
        <v>827</v>
      </c>
      <c r="L278" s="21" t="n">
        <v>46286</v>
      </c>
      <c r="M278" s="19" t="s">
        <v>47</v>
      </c>
      <c r="N278" s="22" t="n">
        <f aca="false">MIN(10,H278+I278+2*J278+IF(C278="Female",1,0)+IF(G278&gt;=7,2,IF(G278&gt;=5,1,0))+IF(F278="Tent",1,0))</f>
        <v>3</v>
      </c>
      <c r="O278" s="19" t="str">
        <f aca="false">IF(N278&gt;=6,"High",IF(N278&gt;=3,"Medium","Low"))</f>
        <v>Medium</v>
      </c>
    </row>
    <row r="279" customFormat="false" ht="15" hidden="false" customHeight="false" outlineLevel="0" collapsed="false">
      <c r="A279" s="19" t="s">
        <v>828</v>
      </c>
      <c r="B279" s="20" t="s">
        <v>448</v>
      </c>
      <c r="C279" s="19" t="s">
        <v>44</v>
      </c>
      <c r="D279" s="19" t="n">
        <v>28</v>
      </c>
      <c r="E279" s="19" t="s">
        <v>18</v>
      </c>
      <c r="F279" s="19" t="s">
        <v>55</v>
      </c>
      <c r="G279" s="19" t="n">
        <v>6</v>
      </c>
      <c r="H279" s="19" t="n">
        <v>1</v>
      </c>
      <c r="I279" s="19" t="n">
        <v>0</v>
      </c>
      <c r="J279" s="19" t="n">
        <v>0</v>
      </c>
      <c r="K279" s="19" t="s">
        <v>829</v>
      </c>
      <c r="L279" s="21" t="n">
        <v>46290</v>
      </c>
      <c r="M279" s="19" t="s">
        <v>80</v>
      </c>
      <c r="N279" s="22" t="n">
        <f aca="false">MIN(10,H279+I279+2*J279+IF(C279="Female",1,0)+IF(G279&gt;=7,2,IF(G279&gt;=5,1,0))+IF(F279="Tent",1,0))</f>
        <v>2</v>
      </c>
      <c r="O279" s="19" t="str">
        <f aca="false">IF(N279&gt;=6,"High",IF(N279&gt;=3,"Medium","Low"))</f>
        <v>Low</v>
      </c>
    </row>
    <row r="280" customFormat="false" ht="15" hidden="false" customHeight="false" outlineLevel="0" collapsed="false">
      <c r="A280" s="19" t="s">
        <v>830</v>
      </c>
      <c r="B280" s="20" t="s">
        <v>831</v>
      </c>
      <c r="C280" s="19" t="s">
        <v>54</v>
      </c>
      <c r="D280" s="19" t="n">
        <v>36</v>
      </c>
      <c r="E280" s="19" t="s">
        <v>14</v>
      </c>
      <c r="F280" s="19" t="s">
        <v>72</v>
      </c>
      <c r="G280" s="19" t="n">
        <v>6</v>
      </c>
      <c r="H280" s="19" t="n">
        <v>1</v>
      </c>
      <c r="I280" s="19" t="n">
        <v>0</v>
      </c>
      <c r="J280" s="19" t="n">
        <v>0</v>
      </c>
      <c r="K280" s="19" t="s">
        <v>832</v>
      </c>
      <c r="L280" s="21" t="n">
        <v>46287</v>
      </c>
      <c r="M280" s="19" t="s">
        <v>47</v>
      </c>
      <c r="N280" s="22" t="n">
        <f aca="false">MIN(10,H280+I280+2*J280+IF(C280="Female",1,0)+IF(G280&gt;=7,2,IF(G280&gt;=5,1,0))+IF(F280="Tent",1,0))</f>
        <v>3</v>
      </c>
      <c r="O280" s="19" t="str">
        <f aca="false">IF(N280&gt;=6,"High",IF(N280&gt;=3,"Medium","Low"))</f>
        <v>Medium</v>
      </c>
    </row>
    <row r="281" customFormat="false" ht="15" hidden="false" customHeight="false" outlineLevel="0" collapsed="false">
      <c r="A281" s="19" t="s">
        <v>833</v>
      </c>
      <c r="B281" s="20" t="s">
        <v>834</v>
      </c>
      <c r="C281" s="19" t="s">
        <v>44</v>
      </c>
      <c r="D281" s="19" t="n">
        <v>66</v>
      </c>
      <c r="E281" s="19" t="s">
        <v>14</v>
      </c>
      <c r="F281" s="19" t="s">
        <v>45</v>
      </c>
      <c r="G281" s="19" t="n">
        <v>6</v>
      </c>
      <c r="H281" s="19" t="n">
        <v>2</v>
      </c>
      <c r="I281" s="19" t="n">
        <v>0</v>
      </c>
      <c r="J281" s="19" t="n">
        <v>1</v>
      </c>
      <c r="K281" s="19" t="s">
        <v>835</v>
      </c>
      <c r="L281" s="21" t="n">
        <v>46297</v>
      </c>
      <c r="M281" s="19" t="s">
        <v>47</v>
      </c>
      <c r="N281" s="22" t="n">
        <f aca="false">MIN(10,H281+I281+2*J281+IF(C281="Female",1,0)+IF(G281&gt;=7,2,IF(G281&gt;=5,1,0))+IF(F281="Tent",1,0))</f>
        <v>6</v>
      </c>
      <c r="O281" s="19" t="str">
        <f aca="false">IF(N281&gt;=6,"High",IF(N281&gt;=3,"Medium","Low"))</f>
        <v>High</v>
      </c>
    </row>
    <row r="282" customFormat="false" ht="15" hidden="false" customHeight="false" outlineLevel="0" collapsed="false">
      <c r="A282" s="19" t="s">
        <v>836</v>
      </c>
      <c r="B282" s="20" t="s">
        <v>691</v>
      </c>
      <c r="C282" s="19" t="s">
        <v>44</v>
      </c>
      <c r="D282" s="19" t="n">
        <v>40</v>
      </c>
      <c r="E282" s="19" t="s">
        <v>16</v>
      </c>
      <c r="F282" s="19" t="s">
        <v>50</v>
      </c>
      <c r="G282" s="19" t="n">
        <v>8</v>
      </c>
      <c r="H282" s="19" t="n">
        <v>3</v>
      </c>
      <c r="I282" s="19" t="n">
        <v>0</v>
      </c>
      <c r="J282" s="19" t="n">
        <v>1</v>
      </c>
      <c r="K282" s="19" t="s">
        <v>837</v>
      </c>
      <c r="L282" s="21" t="n">
        <v>46295</v>
      </c>
      <c r="M282" s="19" t="s">
        <v>80</v>
      </c>
      <c r="N282" s="22" t="n">
        <f aca="false">MIN(10,H282+I282+2*J282+IF(C282="Female",1,0)+IF(G282&gt;=7,2,IF(G282&gt;=5,1,0))+IF(F282="Tent",1,0))</f>
        <v>7</v>
      </c>
      <c r="O282" s="19" t="str">
        <f aca="false">IF(N282&gt;=6,"High",IF(N282&gt;=3,"Medium","Low"))</f>
        <v>High</v>
      </c>
    </row>
    <row r="283" customFormat="false" ht="15" hidden="false" customHeight="false" outlineLevel="0" collapsed="false">
      <c r="A283" s="19" t="s">
        <v>838</v>
      </c>
      <c r="B283" s="20" t="s">
        <v>458</v>
      </c>
      <c r="C283" s="19" t="s">
        <v>44</v>
      </c>
      <c r="D283" s="19" t="n">
        <v>19</v>
      </c>
      <c r="E283" s="19" t="s">
        <v>16</v>
      </c>
      <c r="F283" s="19" t="s">
        <v>45</v>
      </c>
      <c r="G283" s="19" t="n">
        <v>8</v>
      </c>
      <c r="H283" s="19" t="n">
        <v>1</v>
      </c>
      <c r="I283" s="19" t="n">
        <v>1</v>
      </c>
      <c r="J283" s="19" t="n">
        <v>0</v>
      </c>
      <c r="K283" s="19" t="s">
        <v>839</v>
      </c>
      <c r="L283" s="21" t="n">
        <v>46280</v>
      </c>
      <c r="M283" s="19" t="s">
        <v>80</v>
      </c>
      <c r="N283" s="22" t="n">
        <f aca="false">MIN(10,H283+I283+2*J283+IF(C283="Female",1,0)+IF(G283&gt;=7,2,IF(G283&gt;=5,1,0))+IF(F283="Tent",1,0))</f>
        <v>5</v>
      </c>
      <c r="O283" s="19" t="str">
        <f aca="false">IF(N283&gt;=6,"High",IF(N283&gt;=3,"Medium","Low"))</f>
        <v>Medium</v>
      </c>
    </row>
    <row r="284" customFormat="false" ht="15" hidden="false" customHeight="false" outlineLevel="0" collapsed="false">
      <c r="A284" s="19" t="s">
        <v>840</v>
      </c>
      <c r="B284" s="20" t="s">
        <v>841</v>
      </c>
      <c r="C284" s="19" t="s">
        <v>44</v>
      </c>
      <c r="D284" s="19" t="n">
        <v>31</v>
      </c>
      <c r="E284" s="19" t="s">
        <v>15</v>
      </c>
      <c r="F284" s="19" t="s">
        <v>45</v>
      </c>
      <c r="G284" s="19" t="n">
        <v>5</v>
      </c>
      <c r="H284" s="19" t="n">
        <v>0</v>
      </c>
      <c r="I284" s="19" t="n">
        <v>1</v>
      </c>
      <c r="J284" s="19" t="n">
        <v>0</v>
      </c>
      <c r="K284" s="19" t="s">
        <v>842</v>
      </c>
      <c r="L284" s="21" t="n">
        <v>46305</v>
      </c>
      <c r="M284" s="19" t="s">
        <v>80</v>
      </c>
      <c r="N284" s="22" t="n">
        <f aca="false">MIN(10,H284+I284+2*J284+IF(C284="Female",1,0)+IF(G284&gt;=7,2,IF(G284&gt;=5,1,0))+IF(F284="Tent",1,0))</f>
        <v>3</v>
      </c>
      <c r="O284" s="19" t="str">
        <f aca="false">IF(N284&gt;=6,"High",IF(N284&gt;=3,"Medium","Low"))</f>
        <v>Medium</v>
      </c>
    </row>
    <row r="285" customFormat="false" ht="15" hidden="false" customHeight="false" outlineLevel="0" collapsed="false">
      <c r="A285" s="19" t="s">
        <v>843</v>
      </c>
      <c r="B285" s="20" t="s">
        <v>844</v>
      </c>
      <c r="C285" s="19" t="s">
        <v>54</v>
      </c>
      <c r="D285" s="19" t="n">
        <v>48</v>
      </c>
      <c r="E285" s="19" t="s">
        <v>18</v>
      </c>
      <c r="F285" s="19" t="s">
        <v>55</v>
      </c>
      <c r="G285" s="19" t="n">
        <v>8</v>
      </c>
      <c r="H285" s="19" t="n">
        <v>0</v>
      </c>
      <c r="I285" s="19" t="n">
        <v>0</v>
      </c>
      <c r="J285" s="19" t="n">
        <v>1</v>
      </c>
      <c r="K285" s="19" t="s">
        <v>845</v>
      </c>
      <c r="L285" s="21" t="n">
        <v>46294</v>
      </c>
      <c r="M285" s="19" t="s">
        <v>47</v>
      </c>
      <c r="N285" s="22" t="n">
        <f aca="false">MIN(10,H285+I285+2*J285+IF(C285="Female",1,0)+IF(G285&gt;=7,2,IF(G285&gt;=5,1,0))+IF(F285="Tent",1,0))</f>
        <v>5</v>
      </c>
      <c r="O285" s="19" t="str">
        <f aca="false">IF(N285&gt;=6,"High",IF(N285&gt;=3,"Medium","Low"))</f>
        <v>Medium</v>
      </c>
    </row>
    <row r="286" customFormat="false" ht="15" hidden="false" customHeight="false" outlineLevel="0" collapsed="false">
      <c r="A286" s="19" t="s">
        <v>846</v>
      </c>
      <c r="B286" s="20" t="s">
        <v>664</v>
      </c>
      <c r="C286" s="19" t="s">
        <v>44</v>
      </c>
      <c r="D286" s="19" t="n">
        <v>65</v>
      </c>
      <c r="E286" s="19" t="s">
        <v>15</v>
      </c>
      <c r="F286" s="19" t="s">
        <v>45</v>
      </c>
      <c r="G286" s="19" t="n">
        <v>6</v>
      </c>
      <c r="H286" s="19" t="n">
        <v>1</v>
      </c>
      <c r="I286" s="19" t="n">
        <v>0</v>
      </c>
      <c r="J286" s="19" t="n">
        <v>1</v>
      </c>
      <c r="K286" s="19" t="s">
        <v>847</v>
      </c>
      <c r="L286" s="21" t="n">
        <v>46277</v>
      </c>
      <c r="M286" s="19" t="s">
        <v>80</v>
      </c>
      <c r="N286" s="22" t="n">
        <f aca="false">MIN(10,H286+I286+2*J286+IF(C286="Female",1,0)+IF(G286&gt;=7,2,IF(G286&gt;=5,1,0))+IF(F286="Tent",1,0))</f>
        <v>5</v>
      </c>
      <c r="O286" s="19" t="str">
        <f aca="false">IF(N286&gt;=6,"High",IF(N286&gt;=3,"Medium","Low"))</f>
        <v>Medium</v>
      </c>
    </row>
    <row r="287" customFormat="false" ht="15" hidden="false" customHeight="false" outlineLevel="0" collapsed="false">
      <c r="A287" s="19" t="s">
        <v>848</v>
      </c>
      <c r="B287" s="20" t="s">
        <v>448</v>
      </c>
      <c r="C287" s="19" t="s">
        <v>44</v>
      </c>
      <c r="D287" s="19" t="n">
        <v>37</v>
      </c>
      <c r="E287" s="19" t="s">
        <v>17</v>
      </c>
      <c r="F287" s="19" t="s">
        <v>50</v>
      </c>
      <c r="G287" s="19" t="n">
        <v>10</v>
      </c>
      <c r="H287" s="19" t="n">
        <v>1</v>
      </c>
      <c r="I287" s="19" t="n">
        <v>0</v>
      </c>
      <c r="J287" s="19" t="n">
        <v>0</v>
      </c>
      <c r="K287" s="19" t="s">
        <v>849</v>
      </c>
      <c r="L287" s="21" t="n">
        <v>46287</v>
      </c>
      <c r="M287" s="19" t="s">
        <v>47</v>
      </c>
      <c r="N287" s="22" t="n">
        <f aca="false">MIN(10,H287+I287+2*J287+IF(C287="Female",1,0)+IF(G287&gt;=7,2,IF(G287&gt;=5,1,0))+IF(F287="Tent",1,0))</f>
        <v>3</v>
      </c>
      <c r="O287" s="19" t="str">
        <f aca="false">IF(N287&gt;=6,"High",IF(N287&gt;=3,"Medium","Low"))</f>
        <v>Medium</v>
      </c>
    </row>
    <row r="288" customFormat="false" ht="15" hidden="false" customHeight="false" outlineLevel="0" collapsed="false">
      <c r="A288" s="19" t="s">
        <v>850</v>
      </c>
      <c r="B288" s="20" t="s">
        <v>851</v>
      </c>
      <c r="C288" s="19" t="s">
        <v>44</v>
      </c>
      <c r="D288" s="19" t="n">
        <v>32</v>
      </c>
      <c r="E288" s="19" t="s">
        <v>18</v>
      </c>
      <c r="F288" s="19" t="s">
        <v>50</v>
      </c>
      <c r="G288" s="19" t="n">
        <v>9</v>
      </c>
      <c r="H288" s="19" t="n">
        <v>1</v>
      </c>
      <c r="I288" s="19" t="n">
        <v>0</v>
      </c>
      <c r="J288" s="19" t="n">
        <v>0</v>
      </c>
      <c r="K288" s="19" t="s">
        <v>852</v>
      </c>
      <c r="L288" s="21" t="n">
        <v>46278</v>
      </c>
      <c r="M288" s="19" t="s">
        <v>80</v>
      </c>
      <c r="N288" s="22" t="n">
        <f aca="false">MIN(10,H288+I288+2*J288+IF(C288="Female",1,0)+IF(G288&gt;=7,2,IF(G288&gt;=5,1,0))+IF(F288="Tent",1,0))</f>
        <v>3</v>
      </c>
      <c r="O288" s="19" t="str">
        <f aca="false">IF(N288&gt;=6,"High",IF(N288&gt;=3,"Medium","Low"))</f>
        <v>Medium</v>
      </c>
    </row>
    <row r="289" customFormat="false" ht="15" hidden="false" customHeight="false" outlineLevel="0" collapsed="false">
      <c r="A289" s="19" t="s">
        <v>853</v>
      </c>
      <c r="B289" s="20" t="s">
        <v>854</v>
      </c>
      <c r="C289" s="19" t="s">
        <v>44</v>
      </c>
      <c r="D289" s="19" t="n">
        <v>55</v>
      </c>
      <c r="E289" s="19" t="s">
        <v>17</v>
      </c>
      <c r="F289" s="19" t="s">
        <v>50</v>
      </c>
      <c r="G289" s="19" t="n">
        <v>6</v>
      </c>
      <c r="H289" s="19" t="n">
        <v>1</v>
      </c>
      <c r="I289" s="19" t="n">
        <v>0</v>
      </c>
      <c r="J289" s="19" t="n">
        <v>0</v>
      </c>
      <c r="K289" s="19" t="s">
        <v>855</v>
      </c>
      <c r="L289" s="21" t="n">
        <v>46303</v>
      </c>
      <c r="M289" s="19" t="s">
        <v>80</v>
      </c>
      <c r="N289" s="22" t="n">
        <f aca="false">MIN(10,H289+I289+2*J289+IF(C289="Female",1,0)+IF(G289&gt;=7,2,IF(G289&gt;=5,1,0))+IF(F289="Tent",1,0))</f>
        <v>2</v>
      </c>
      <c r="O289" s="19" t="str">
        <f aca="false">IF(N289&gt;=6,"High",IF(N289&gt;=3,"Medium","Low"))</f>
        <v>Low</v>
      </c>
    </row>
    <row r="290" customFormat="false" ht="15" hidden="false" customHeight="false" outlineLevel="0" collapsed="false">
      <c r="A290" s="19" t="s">
        <v>856</v>
      </c>
      <c r="B290" s="20" t="s">
        <v>857</v>
      </c>
      <c r="C290" s="19" t="s">
        <v>44</v>
      </c>
      <c r="D290" s="19" t="n">
        <v>37</v>
      </c>
      <c r="E290" s="19" t="s">
        <v>16</v>
      </c>
      <c r="F290" s="19" t="s">
        <v>45</v>
      </c>
      <c r="G290" s="19" t="n">
        <v>6</v>
      </c>
      <c r="H290" s="19" t="n">
        <v>0</v>
      </c>
      <c r="I290" s="19" t="n">
        <v>0</v>
      </c>
      <c r="J290" s="19" t="n">
        <v>0</v>
      </c>
      <c r="K290" s="19" t="s">
        <v>858</v>
      </c>
      <c r="L290" s="21" t="n">
        <v>46276</v>
      </c>
      <c r="M290" s="19" t="s">
        <v>47</v>
      </c>
      <c r="N290" s="22" t="n">
        <f aca="false">MIN(10,H290+I290+2*J290+IF(C290="Female",1,0)+IF(G290&gt;=7,2,IF(G290&gt;=5,1,0))+IF(F290="Tent",1,0))</f>
        <v>2</v>
      </c>
      <c r="O290" s="19" t="str">
        <f aca="false">IF(N290&gt;=6,"High",IF(N290&gt;=3,"Medium","Low"))</f>
        <v>Low</v>
      </c>
    </row>
    <row r="291" customFormat="false" ht="15" hidden="false" customHeight="false" outlineLevel="0" collapsed="false">
      <c r="A291" s="19" t="s">
        <v>859</v>
      </c>
      <c r="B291" s="20" t="s">
        <v>860</v>
      </c>
      <c r="C291" s="19" t="s">
        <v>44</v>
      </c>
      <c r="D291" s="19" t="n">
        <v>43</v>
      </c>
      <c r="E291" s="19" t="s">
        <v>15</v>
      </c>
      <c r="F291" s="19" t="s">
        <v>72</v>
      </c>
      <c r="G291" s="19" t="n">
        <v>2</v>
      </c>
      <c r="H291" s="19" t="n">
        <v>1</v>
      </c>
      <c r="I291" s="19" t="n">
        <v>0</v>
      </c>
      <c r="J291" s="19" t="n">
        <v>1</v>
      </c>
      <c r="K291" s="19" t="s">
        <v>861</v>
      </c>
      <c r="L291" s="21" t="n">
        <v>46301</v>
      </c>
      <c r="M291" s="19" t="s">
        <v>80</v>
      </c>
      <c r="N291" s="22" t="n">
        <f aca="false">MIN(10,H291+I291+2*J291+IF(C291="Female",1,0)+IF(G291&gt;=7,2,IF(G291&gt;=5,1,0))+IF(F291="Tent",1,0))</f>
        <v>3</v>
      </c>
      <c r="O291" s="19" t="str">
        <f aca="false">IF(N291&gt;=6,"High",IF(N291&gt;=3,"Medium","Low"))</f>
        <v>Medium</v>
      </c>
    </row>
    <row r="292" customFormat="false" ht="15" hidden="false" customHeight="false" outlineLevel="0" collapsed="false">
      <c r="A292" s="19" t="s">
        <v>862</v>
      </c>
      <c r="B292" s="20" t="s">
        <v>722</v>
      </c>
      <c r="C292" s="19" t="s">
        <v>44</v>
      </c>
      <c r="D292" s="19" t="n">
        <v>31</v>
      </c>
      <c r="E292" s="19" t="s">
        <v>18</v>
      </c>
      <c r="F292" s="19" t="s">
        <v>55</v>
      </c>
      <c r="G292" s="19" t="n">
        <v>5</v>
      </c>
      <c r="H292" s="19" t="n">
        <v>3</v>
      </c>
      <c r="I292" s="19" t="n">
        <v>2</v>
      </c>
      <c r="J292" s="19" t="n">
        <v>0</v>
      </c>
      <c r="K292" s="19" t="s">
        <v>863</v>
      </c>
      <c r="L292" s="21" t="n">
        <v>46282</v>
      </c>
      <c r="M292" s="19" t="s">
        <v>80</v>
      </c>
      <c r="N292" s="22" t="n">
        <f aca="false">MIN(10,H292+I292+2*J292+IF(C292="Female",1,0)+IF(G292&gt;=7,2,IF(G292&gt;=5,1,0))+IF(F292="Tent",1,0))</f>
        <v>6</v>
      </c>
      <c r="O292" s="19" t="str">
        <f aca="false">IF(N292&gt;=6,"High",IF(N292&gt;=3,"Medium","Low"))</f>
        <v>High</v>
      </c>
    </row>
    <row r="293" customFormat="false" ht="15" hidden="false" customHeight="false" outlineLevel="0" collapsed="false">
      <c r="A293" s="19" t="s">
        <v>864</v>
      </c>
      <c r="B293" s="20" t="s">
        <v>865</v>
      </c>
      <c r="C293" s="19" t="s">
        <v>44</v>
      </c>
      <c r="D293" s="19" t="n">
        <v>62</v>
      </c>
      <c r="E293" s="19" t="s">
        <v>14</v>
      </c>
      <c r="F293" s="19" t="s">
        <v>45</v>
      </c>
      <c r="G293" s="19" t="n">
        <v>8</v>
      </c>
      <c r="H293" s="19" t="n">
        <v>1</v>
      </c>
      <c r="I293" s="19" t="n">
        <v>0</v>
      </c>
      <c r="J293" s="19" t="n">
        <v>0</v>
      </c>
      <c r="K293" s="19" t="s">
        <v>866</v>
      </c>
      <c r="L293" s="21" t="n">
        <v>46277</v>
      </c>
      <c r="M293" s="19" t="s">
        <v>47</v>
      </c>
      <c r="N293" s="22" t="n">
        <f aca="false">MIN(10,H293+I293+2*J293+IF(C293="Female",1,0)+IF(G293&gt;=7,2,IF(G293&gt;=5,1,0))+IF(F293="Tent",1,0))</f>
        <v>4</v>
      </c>
      <c r="O293" s="19" t="str">
        <f aca="false">IF(N293&gt;=6,"High",IF(N293&gt;=3,"Medium","Low"))</f>
        <v>Medium</v>
      </c>
    </row>
    <row r="294" customFormat="false" ht="15" hidden="false" customHeight="false" outlineLevel="0" collapsed="false">
      <c r="A294" s="19" t="s">
        <v>867</v>
      </c>
      <c r="B294" s="20" t="s">
        <v>868</v>
      </c>
      <c r="C294" s="19" t="s">
        <v>44</v>
      </c>
      <c r="D294" s="19" t="n">
        <v>64</v>
      </c>
      <c r="E294" s="19" t="s">
        <v>15</v>
      </c>
      <c r="F294" s="19" t="s">
        <v>45</v>
      </c>
      <c r="G294" s="19" t="n">
        <v>5</v>
      </c>
      <c r="H294" s="19" t="n">
        <v>1</v>
      </c>
      <c r="I294" s="19" t="n">
        <v>0</v>
      </c>
      <c r="J294" s="19" t="n">
        <v>0</v>
      </c>
      <c r="K294" s="19" t="s">
        <v>869</v>
      </c>
      <c r="L294" s="21" t="n">
        <v>46295</v>
      </c>
      <c r="M294" s="19" t="s">
        <v>66</v>
      </c>
      <c r="N294" s="22" t="n">
        <f aca="false">MIN(10,H294+I294+2*J294+IF(C294="Female",1,0)+IF(G294&gt;=7,2,IF(G294&gt;=5,1,0))+IF(F294="Tent",1,0))</f>
        <v>3</v>
      </c>
      <c r="O294" s="19" t="str">
        <f aca="false">IF(N294&gt;=6,"High",IF(N294&gt;=3,"Medium","Low"))</f>
        <v>Medium</v>
      </c>
    </row>
    <row r="295" customFormat="false" ht="15" hidden="false" customHeight="false" outlineLevel="0" collapsed="false">
      <c r="A295" s="19" t="s">
        <v>870</v>
      </c>
      <c r="B295" s="20" t="s">
        <v>365</v>
      </c>
      <c r="C295" s="19" t="s">
        <v>44</v>
      </c>
      <c r="D295" s="19" t="n">
        <v>52</v>
      </c>
      <c r="E295" s="19" t="s">
        <v>14</v>
      </c>
      <c r="F295" s="19" t="s">
        <v>50</v>
      </c>
      <c r="G295" s="19" t="n">
        <v>6</v>
      </c>
      <c r="H295" s="19" t="n">
        <v>1</v>
      </c>
      <c r="I295" s="19" t="n">
        <v>0</v>
      </c>
      <c r="J295" s="19" t="n">
        <v>0</v>
      </c>
      <c r="K295" s="19" t="s">
        <v>871</v>
      </c>
      <c r="L295" s="21" t="n">
        <v>46277</v>
      </c>
      <c r="M295" s="19" t="s">
        <v>47</v>
      </c>
      <c r="N295" s="22" t="n">
        <f aca="false">MIN(10,H295+I295+2*J295+IF(C295="Female",1,0)+IF(G295&gt;=7,2,IF(G295&gt;=5,1,0))+IF(F295="Tent",1,0))</f>
        <v>2</v>
      </c>
      <c r="O295" s="19" t="str">
        <f aca="false">IF(N295&gt;=6,"High",IF(N295&gt;=3,"Medium","Low"))</f>
        <v>Low</v>
      </c>
    </row>
    <row r="296" customFormat="false" ht="15" hidden="false" customHeight="false" outlineLevel="0" collapsed="false">
      <c r="A296" s="19" t="s">
        <v>872</v>
      </c>
      <c r="B296" s="20" t="s">
        <v>873</v>
      </c>
      <c r="C296" s="19" t="s">
        <v>44</v>
      </c>
      <c r="D296" s="19" t="n">
        <v>52</v>
      </c>
      <c r="E296" s="19" t="s">
        <v>17</v>
      </c>
      <c r="F296" s="19" t="s">
        <v>55</v>
      </c>
      <c r="G296" s="19" t="n">
        <v>5</v>
      </c>
      <c r="H296" s="19" t="n">
        <v>2</v>
      </c>
      <c r="I296" s="19" t="n">
        <v>0</v>
      </c>
      <c r="J296" s="19" t="n">
        <v>0</v>
      </c>
      <c r="K296" s="19" t="s">
        <v>874</v>
      </c>
      <c r="L296" s="21" t="n">
        <v>46305</v>
      </c>
      <c r="M296" s="19" t="s">
        <v>80</v>
      </c>
      <c r="N296" s="22" t="n">
        <f aca="false">MIN(10,H296+I296+2*J296+IF(C296="Female",1,0)+IF(G296&gt;=7,2,IF(G296&gt;=5,1,0))+IF(F296="Tent",1,0))</f>
        <v>3</v>
      </c>
      <c r="O296" s="19" t="str">
        <f aca="false">IF(N296&gt;=6,"High",IF(N296&gt;=3,"Medium","Low"))</f>
        <v>Medium</v>
      </c>
    </row>
    <row r="297" customFormat="false" ht="15" hidden="false" customHeight="false" outlineLevel="0" collapsed="false">
      <c r="A297" s="19" t="s">
        <v>875</v>
      </c>
      <c r="B297" s="20" t="s">
        <v>136</v>
      </c>
      <c r="C297" s="19" t="s">
        <v>44</v>
      </c>
      <c r="D297" s="19" t="n">
        <v>43</v>
      </c>
      <c r="E297" s="19" t="s">
        <v>14</v>
      </c>
      <c r="F297" s="19" t="s">
        <v>45</v>
      </c>
      <c r="G297" s="19" t="n">
        <v>7</v>
      </c>
      <c r="H297" s="19" t="n">
        <v>1</v>
      </c>
      <c r="I297" s="19" t="n">
        <v>1</v>
      </c>
      <c r="J297" s="19" t="n">
        <v>0</v>
      </c>
      <c r="K297" s="19" t="s">
        <v>876</v>
      </c>
      <c r="L297" s="21" t="n">
        <v>46286</v>
      </c>
      <c r="M297" s="19" t="s">
        <v>47</v>
      </c>
      <c r="N297" s="22" t="n">
        <f aca="false">MIN(10,H297+I297+2*J297+IF(C297="Female",1,0)+IF(G297&gt;=7,2,IF(G297&gt;=5,1,0))+IF(F297="Tent",1,0))</f>
        <v>5</v>
      </c>
      <c r="O297" s="19" t="str">
        <f aca="false">IF(N297&gt;=6,"High",IF(N297&gt;=3,"Medium","Low"))</f>
        <v>Medium</v>
      </c>
    </row>
    <row r="298" customFormat="false" ht="15" hidden="false" customHeight="false" outlineLevel="0" collapsed="false">
      <c r="A298" s="19" t="s">
        <v>877</v>
      </c>
      <c r="B298" s="20" t="s">
        <v>418</v>
      </c>
      <c r="C298" s="19" t="s">
        <v>44</v>
      </c>
      <c r="D298" s="19" t="n">
        <v>25</v>
      </c>
      <c r="E298" s="19" t="s">
        <v>15</v>
      </c>
      <c r="F298" s="19" t="s">
        <v>55</v>
      </c>
      <c r="G298" s="19" t="n">
        <v>6</v>
      </c>
      <c r="H298" s="19" t="n">
        <v>1</v>
      </c>
      <c r="I298" s="19" t="n">
        <v>0</v>
      </c>
      <c r="J298" s="19" t="n">
        <v>0</v>
      </c>
      <c r="K298" s="19" t="s">
        <v>878</v>
      </c>
      <c r="L298" s="21" t="n">
        <v>46271</v>
      </c>
      <c r="M298" s="19" t="s">
        <v>80</v>
      </c>
      <c r="N298" s="22" t="n">
        <f aca="false">MIN(10,H298+I298+2*J298+IF(C298="Female",1,0)+IF(G298&gt;=7,2,IF(G298&gt;=5,1,0))+IF(F298="Tent",1,0))</f>
        <v>2</v>
      </c>
      <c r="O298" s="19" t="str">
        <f aca="false">IF(N298&gt;=6,"High",IF(N298&gt;=3,"Medium","Low"))</f>
        <v>Low</v>
      </c>
    </row>
    <row r="299" customFormat="false" ht="15" hidden="false" customHeight="false" outlineLevel="0" collapsed="false">
      <c r="A299" s="19" t="s">
        <v>879</v>
      </c>
      <c r="B299" s="20" t="s">
        <v>880</v>
      </c>
      <c r="C299" s="19" t="s">
        <v>44</v>
      </c>
      <c r="D299" s="19" t="n">
        <v>60</v>
      </c>
      <c r="E299" s="19" t="s">
        <v>14</v>
      </c>
      <c r="F299" s="19" t="s">
        <v>50</v>
      </c>
      <c r="G299" s="19" t="n">
        <v>7</v>
      </c>
      <c r="H299" s="19" t="n">
        <v>2</v>
      </c>
      <c r="I299" s="19" t="n">
        <v>1</v>
      </c>
      <c r="J299" s="19" t="n">
        <v>0</v>
      </c>
      <c r="K299" s="19" t="s">
        <v>881</v>
      </c>
      <c r="L299" s="21" t="n">
        <v>46293</v>
      </c>
      <c r="M299" s="19" t="s">
        <v>47</v>
      </c>
      <c r="N299" s="22" t="n">
        <f aca="false">MIN(10,H299+I299+2*J299+IF(C299="Female",1,0)+IF(G299&gt;=7,2,IF(G299&gt;=5,1,0))+IF(F299="Tent",1,0))</f>
        <v>5</v>
      </c>
      <c r="O299" s="19" t="str">
        <f aca="false">IF(N299&gt;=6,"High",IF(N299&gt;=3,"Medium","Low"))</f>
        <v>Medium</v>
      </c>
    </row>
    <row r="300" customFormat="false" ht="15" hidden="false" customHeight="false" outlineLevel="0" collapsed="false">
      <c r="A300" s="19" t="s">
        <v>882</v>
      </c>
      <c r="B300" s="20" t="s">
        <v>622</v>
      </c>
      <c r="C300" s="19" t="s">
        <v>44</v>
      </c>
      <c r="D300" s="19" t="n">
        <v>45</v>
      </c>
      <c r="E300" s="19" t="s">
        <v>17</v>
      </c>
      <c r="F300" s="19" t="s">
        <v>72</v>
      </c>
      <c r="G300" s="19" t="n">
        <v>2</v>
      </c>
      <c r="H300" s="19" t="n">
        <v>0</v>
      </c>
      <c r="I300" s="19" t="n">
        <v>1</v>
      </c>
      <c r="J300" s="19" t="n">
        <v>0</v>
      </c>
      <c r="K300" s="19" t="s">
        <v>883</v>
      </c>
      <c r="L300" s="21" t="n">
        <v>46282</v>
      </c>
      <c r="M300" s="19" t="s">
        <v>47</v>
      </c>
      <c r="N300" s="22" t="n">
        <f aca="false">MIN(10,H300+I300+2*J300+IF(C300="Female",1,0)+IF(G300&gt;=7,2,IF(G300&gt;=5,1,0))+IF(F300="Tent",1,0))</f>
        <v>1</v>
      </c>
      <c r="O300" s="19" t="str">
        <f aca="false">IF(N300&gt;=6,"High",IF(N300&gt;=3,"Medium","Low"))</f>
        <v>Low</v>
      </c>
    </row>
    <row r="301" customFormat="false" ht="15" hidden="false" customHeight="false" outlineLevel="0" collapsed="false">
      <c r="A301" s="19" t="s">
        <v>884</v>
      </c>
      <c r="B301" s="20" t="s">
        <v>109</v>
      </c>
      <c r="C301" s="19" t="s">
        <v>44</v>
      </c>
      <c r="D301" s="19" t="n">
        <v>41</v>
      </c>
      <c r="E301" s="19" t="s">
        <v>18</v>
      </c>
      <c r="F301" s="19" t="s">
        <v>45</v>
      </c>
      <c r="G301" s="19" t="n">
        <v>6</v>
      </c>
      <c r="H301" s="19" t="n">
        <v>1</v>
      </c>
      <c r="I301" s="19" t="n">
        <v>0</v>
      </c>
      <c r="J301" s="19" t="n">
        <v>0</v>
      </c>
      <c r="K301" s="19" t="s">
        <v>885</v>
      </c>
      <c r="L301" s="21" t="n">
        <v>46270</v>
      </c>
      <c r="M301" s="19" t="s">
        <v>80</v>
      </c>
      <c r="N301" s="22" t="n">
        <f aca="false">MIN(10,H301+I301+2*J301+IF(C301="Female",1,0)+IF(G301&gt;=7,2,IF(G301&gt;=5,1,0))+IF(F301="Tent",1,0))</f>
        <v>3</v>
      </c>
      <c r="O301" s="19" t="str">
        <f aca="false">IF(N301&gt;=6,"High",IF(N301&gt;=3,"Medium","Low"))</f>
        <v>Medium</v>
      </c>
    </row>
  </sheetData>
  <conditionalFormatting sqref="O2:O301">
    <cfRule type="cellIs" priority="2" operator="equal" aboveAverage="0" equalAverage="0" bottom="0" percent="0" rank="0" text="" dxfId="10">
      <formula>"High"</formula>
    </cfRule>
    <cfRule type="cellIs" priority="3" operator="equal" aboveAverage="0" equalAverage="0" bottom="0" percent="0" rank="0" text="" dxfId="11">
      <formula>"Medium"</formula>
    </cfRule>
    <cfRule type="cellIs" priority="4" operator="equal" aboveAverage="0" equalAverage="0" bottom="0" percent="0" rank="0" text="" dxfId="12">
      <formula>"Low"</formula>
    </cfRule>
  </conditionalFormatting>
  <conditionalFormatting sqref="M2:M301">
    <cfRule type="cellIs" priority="5" operator="equal" aboveAverage="0" equalAverage="0" bottom="0" percent="0" rank="0" text="" dxfId="13">
      <formula>"Pending update"</formula>
    </cfRule>
  </conditionalFormatting>
  <conditionalFormatting sqref="N2:N301">
    <cfRule type="dataBar" priority="6">
      <dataBar showValue="1" minLength="10" maxLength="90">
        <cfvo type="num" val="0"/>
        <cfvo type="num" val="10"/>
        <color rgb="FF2A9D8F"/>
      </dataBar>
      <extLst>
        <ext xmlns:x14="http://schemas.microsoft.com/office/spreadsheetml/2009/9/main" uri="{B025F937-C7B1-47D3-B67F-A62EFF666E3E}">
          <x14:id>{845C6E52-E9EF-4A40-B7E4-B2BEE693DF31}</x14:id>
        </ext>
      </extLst>
    </cfRule>
  </conditionalFormatting>
  <dataValidations count="5">
    <dataValidation allowBlank="false" error="Please choose a value from the list." errorStyle="stop" errorTitle="Invalid entry" operator="between" showDropDown="false" showErrorMessage="true" showInputMessage="false" sqref="E2:E301" type="list">
      <formula1>Lists!$A$2:$A$6</formula1>
      <formula2>0</formula2>
    </dataValidation>
    <dataValidation allowBlank="false" error="Please choose a value from the list." errorStyle="stop" errorTitle="Invalid entry" operator="between" showDropDown="false" showErrorMessage="true" showInputMessage="false" sqref="F2:F301" type="list">
      <formula1>Lists!$B$2:$B$5</formula1>
      <formula2>0</formula2>
    </dataValidation>
    <dataValidation allowBlank="false" error="Please choose a value from the list." errorStyle="stop" errorTitle="Invalid entry" operator="between" showDropDown="false" showErrorMessage="true" showInputMessage="false" sqref="M2:M301" type="list">
      <formula1>Lists!$C$2:$C$4</formula1>
      <formula2>0</formula2>
    </dataValidation>
    <dataValidation allowBlank="false" error="Please choose a value from the list." errorStyle="stop" errorTitle="Invalid entry" operator="between" showDropDown="false" showErrorMessage="true" showInputMessage="false" sqref="C2:C301" type="list">
      <formula1>Lists!$D$2:$D$3</formula1>
      <formula2>0</formula2>
    </dataValidation>
    <dataValidation allowBlank="false" error="Family size must be 1-20." errorStyle="stop" operator="between" showDropDown="false" showErrorMessage="true" showInputMessage="false" sqref="G2:G301" type="whole">
      <formula1>1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C6E52-E9EF-4A40-B7E4-B2BEE693DF31}">
            <x14:dataBar minLength="10" maxLength="90" axisPosition="none" gradient="true">
              <x14:cfvo type="num">
                <xm:f>0</xm:f>
              </x14:cfvo>
              <x14:cfvo type="num">
                <xm:f>10</xm:f>
              </x14:cfvo>
              <x14:negativeFillColor rgb="FF2A9D8F"/>
              <x14:axisColor rgb="FF000000"/>
            </x14:dataBar>
          </x14:cfRule>
          <xm:sqref>N2:N301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15" hidden="false" customHeight="false" outlineLevel="0" collapsed="false">
      <c r="A1" s="23" t="s">
        <v>9</v>
      </c>
      <c r="B1" s="23" t="s">
        <v>886</v>
      </c>
      <c r="C1" s="23" t="s">
        <v>40</v>
      </c>
      <c r="D1" s="23" t="s">
        <v>32</v>
      </c>
    </row>
    <row r="2" customFormat="false" ht="15" hidden="false" customHeight="false" outlineLevel="0" collapsed="false">
      <c r="A2" s="24" t="s">
        <v>14</v>
      </c>
      <c r="B2" s="24" t="s">
        <v>45</v>
      </c>
      <c r="C2" s="24" t="s">
        <v>47</v>
      </c>
      <c r="D2" s="24" t="s">
        <v>44</v>
      </c>
    </row>
    <row r="3" customFormat="false" ht="15" hidden="false" customHeight="false" outlineLevel="0" collapsed="false">
      <c r="A3" s="24" t="s">
        <v>15</v>
      </c>
      <c r="B3" s="24" t="s">
        <v>72</v>
      </c>
      <c r="C3" s="24" t="s">
        <v>80</v>
      </c>
      <c r="D3" s="24" t="s">
        <v>54</v>
      </c>
    </row>
    <row r="4" customFormat="false" ht="15" hidden="false" customHeight="false" outlineLevel="0" collapsed="false">
      <c r="A4" s="24" t="s">
        <v>16</v>
      </c>
      <c r="B4" s="24" t="s">
        <v>50</v>
      </c>
      <c r="C4" s="24" t="s">
        <v>66</v>
      </c>
      <c r="D4" s="24"/>
    </row>
    <row r="5" customFormat="false" ht="15" hidden="false" customHeight="false" outlineLevel="0" collapsed="false">
      <c r="A5" s="24" t="s">
        <v>17</v>
      </c>
      <c r="B5" s="24" t="s">
        <v>55</v>
      </c>
      <c r="C5" s="24"/>
      <c r="D5" s="24"/>
    </row>
    <row r="6" customFormat="false" ht="15" hidden="false" customHeight="false" outlineLevel="0" collapsed="false">
      <c r="A6" s="24" t="s">
        <v>18</v>
      </c>
      <c r="B6" s="24"/>
      <c r="C6" s="24"/>
      <c r="D6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2026-10-10T19:36:51Z</dcterms:created>
  <dc:creator>openpyxl</dc:creator>
  <dc:description/>
  <dc:language>en-US</dc:language>
  <cp:lastModifiedBy/>
  <dcterms:modified xsi:type="dcterms:W3CDTF">2026-10-10T22:36:53Z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