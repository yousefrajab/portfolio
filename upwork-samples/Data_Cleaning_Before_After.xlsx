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1. Before (Raw)" sheetId="2" state="visible" r:id="rId4"/>
    <sheet name="2. After (Clean)" sheetId="3" state="visible" r:id="rId5"/>
    <sheet name="3. Cleaning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Red = formatting problems or duplicates, yellow = missing values.</t>
        </r>
      </text>
    </comment>
  </commentList>
</comments>
</file>

<file path=xl/sharedStrings.xml><?xml version="1.0" encoding="utf-8"?>
<sst xmlns="http://schemas.openxmlformats.org/spreadsheetml/2006/main" count="640" uniqueCount="353">
  <si>
    <t xml:space="preserve">Data Cleaning – Before &amp; After</t>
  </si>
  <si>
    <t xml:space="preserve">Sample portfolio file by Yousef Alkhateeb – all names, phones and emails are fictional.</t>
  </si>
  <si>
    <t xml:space="preserve">The task</t>
  </si>
  <si>
    <t xml:space="preserve">A raw beneficiary list exported from several forms: duplicates, mixed name cases, 17 spellings of 5 cities, 5 phone formats, 5 date formats and text inside number columns.</t>
  </si>
  <si>
    <t xml:space="preserve">The result</t>
  </si>
  <si>
    <t xml:space="preserve">One clean, de-duplicated table that can be filtered, counted and imported into any system.</t>
  </si>
  <si>
    <t xml:space="preserve">Sheets</t>
  </si>
  <si>
    <t xml:space="preserve">1. Before (Raw) – the data as received
2. After (Clean) – the cleaned table with a Data Check column
3. Cleaning Log – every fix, with live counts</t>
  </si>
  <si>
    <t xml:space="preserve">Tools</t>
  </si>
  <si>
    <t xml:space="preserve">Microsoft Excel: TRIM/PROPER, Find &amp; Replace, Text to Columns, Remove Duplicates, data validation, formulas, conditional formatting.</t>
  </si>
  <si>
    <t xml:space="preserve">Turnaround</t>
  </si>
  <si>
    <t xml:space="preserve">A file like this (≈50 rows) is cleaned within a few hours; thousands of rows within 1–3 days.</t>
  </si>
  <si>
    <t xml:space="preserve">Full Name</t>
  </si>
  <si>
    <t xml:space="preserve">City</t>
  </si>
  <si>
    <t xml:space="preserve">Phone</t>
  </si>
  <si>
    <t xml:space="preserve">Registration Date</t>
  </si>
  <si>
    <t xml:space="preserve">Family Members</t>
  </si>
  <si>
    <t xml:space="preserve">Program</t>
  </si>
  <si>
    <t xml:space="preserve">Email</t>
  </si>
  <si>
    <t xml:space="preserve">Asma Nasser</t>
  </si>
  <si>
    <t xml:space="preserve">16 August 2026</t>
  </si>
  <si>
    <t xml:space="preserve">1 persons</t>
  </si>
  <si>
    <t xml:space="preserve">Food parcel</t>
  </si>
  <si>
    <t xml:space="preserve">asma.nasser@example.com</t>
  </si>
  <si>
    <t xml:space="preserve">YAHYA HADDAD</t>
  </si>
  <si>
    <t xml:space="preserve">Rafah</t>
  </si>
  <si>
    <t xml:space="preserve">+970 594 464 264</t>
  </si>
  <si>
    <t xml:space="preserve">10/08/2026</t>
  </si>
  <si>
    <t xml:space="preserve">6 persons</t>
  </si>
  <si>
    <t xml:space="preserve">water voucher</t>
  </si>
  <si>
    <t xml:space="preserve">yahya.haddad@example.com</t>
  </si>
  <si>
    <t xml:space="preserve">tariq darwish</t>
  </si>
  <si>
    <t xml:space="preserve">nuseirat </t>
  </si>
  <si>
    <t xml:space="preserve">00970592959077</t>
  </si>
  <si>
    <t xml:space="preserve">26/09/2026</t>
  </si>
  <si>
    <t xml:space="preserve">9</t>
  </si>
  <si>
    <t xml:space="preserve">Cash assistance</t>
  </si>
  <si>
    <t xml:space="preserve">TARIQ.DARWISH@EXAMPLE.COM</t>
  </si>
  <si>
    <t xml:space="preserve">DINA SHAHEEN</t>
  </si>
  <si>
    <t xml:space="preserve">Rafah </t>
  </si>
  <si>
    <t xml:space="preserve">597971464</t>
  </si>
  <si>
    <t xml:space="preserve">01/08/2026</t>
  </si>
  <si>
    <t xml:space="preserve">3</t>
  </si>
  <si>
    <t xml:space="preserve">dina.shaheen@example.com</t>
  </si>
  <si>
    <t xml:space="preserve">Noor Hassan</t>
  </si>
  <si>
    <t xml:space="preserve">Khanyounis</t>
  </si>
  <si>
    <t xml:space="preserve">+970 592 280 718</t>
  </si>
  <si>
    <t xml:space="preserve">19 September 2026</t>
  </si>
  <si>
    <t xml:space="preserve">noor.hassan@example.com</t>
  </si>
  <si>
    <t xml:space="preserve">  Lina   Qasem </t>
  </si>
  <si>
    <t xml:space="preserve">Gaza</t>
  </si>
  <si>
    <t xml:space="preserve">2026-09-09</t>
  </si>
  <si>
    <t xml:space="preserve">lina.qasem@example.com</t>
  </si>
  <si>
    <t xml:space="preserve">TARIQ DARWISH</t>
  </si>
  <si>
    <t xml:space="preserve">reem hamdan</t>
  </si>
  <si>
    <t xml:space="preserve">RAFAH</t>
  </si>
  <si>
    <t xml:space="preserve">0596251262</t>
  </si>
  <si>
    <t xml:space="preserve">2026-08-19</t>
  </si>
  <si>
    <t xml:space="preserve">2</t>
  </si>
  <si>
    <t xml:space="preserve">cash assistance</t>
  </si>
  <si>
    <t xml:space="preserve">reem.hamdan@example.com</t>
  </si>
  <si>
    <t xml:space="preserve">Fadi Mansour</t>
  </si>
  <si>
    <t xml:space="preserve">Deir Al Balah</t>
  </si>
  <si>
    <t xml:space="preserve">11/09/2026</t>
  </si>
  <si>
    <t xml:space="preserve">fadi.mansour@example.com</t>
  </si>
  <si>
    <t xml:space="preserve">  Huda   Saleh </t>
  </si>
  <si>
    <t xml:space="preserve">24/09/2026</t>
  </si>
  <si>
    <t xml:space="preserve">8</t>
  </si>
  <si>
    <t xml:space="preserve">HUDA.SALEH@EXAMPLE.COM</t>
  </si>
  <si>
    <t xml:space="preserve">Aya Nasser</t>
  </si>
  <si>
    <t xml:space="preserve">00970592278261</t>
  </si>
  <si>
    <t xml:space="preserve">16/09/2026</t>
  </si>
  <si>
    <t xml:space="preserve">hygiene kit</t>
  </si>
  <si>
    <t xml:space="preserve">aya.nasser@example.com</t>
  </si>
  <si>
    <t xml:space="preserve">ZIAD HAMDAN</t>
  </si>
  <si>
    <t xml:space="preserve">rafah</t>
  </si>
  <si>
    <t xml:space="preserve">+970 591 481 272</t>
  </si>
  <si>
    <t xml:space="preserve">04.09.2026</t>
  </si>
  <si>
    <t xml:space="preserve">ziad.hamdan@example.com</t>
  </si>
  <si>
    <t xml:space="preserve">Reem Odeh</t>
  </si>
  <si>
    <t xml:space="preserve">00970598656506</t>
  </si>
  <si>
    <t xml:space="preserve">21 August 2026</t>
  </si>
  <si>
    <t xml:space="preserve">food parcel</t>
  </si>
  <si>
    <t xml:space="preserve">reem.odeh@example.com</t>
  </si>
  <si>
    <t xml:space="preserve">Fadi Shaheen</t>
  </si>
  <si>
    <t xml:space="preserve">Deir al-Balah</t>
  </si>
  <si>
    <t xml:space="preserve">0599-441-824</t>
  </si>
  <si>
    <t xml:space="preserve">2026-09-18</t>
  </si>
  <si>
    <t xml:space="preserve">9 persons</t>
  </si>
  <si>
    <t xml:space="preserve">Water voucher</t>
  </si>
  <si>
    <t xml:space="preserve">FADI.SHAHEEN@EXAMPLE.COM</t>
  </si>
  <si>
    <t xml:space="preserve">ZIAD NAJJAR</t>
  </si>
  <si>
    <t xml:space="preserve">0592741281</t>
  </si>
  <si>
    <t xml:space="preserve">21 September 2026</t>
  </si>
  <si>
    <t xml:space="preserve">ziad.najjar@example.com</t>
  </si>
  <si>
    <t xml:space="preserve">AYA NAJJAR</t>
  </si>
  <si>
    <t xml:space="preserve">+970 599 176 756</t>
  </si>
  <si>
    <t xml:space="preserve">19/08/2026</t>
  </si>
  <si>
    <t xml:space="preserve">AYA.NAJJAR@EXAMPLE.COM</t>
  </si>
  <si>
    <t xml:space="preserve">Sami Hamdan</t>
  </si>
  <si>
    <t xml:space="preserve">26-Aug-26</t>
  </si>
  <si>
    <t xml:space="preserve">sami.hamdan@example.com</t>
  </si>
  <si>
    <t xml:space="preserve">  Reem   Nasser </t>
  </si>
  <si>
    <t xml:space="preserve">Khan Younis</t>
  </si>
  <si>
    <t xml:space="preserve">590749078</t>
  </si>
  <si>
    <t xml:space="preserve">06/09/2026</t>
  </si>
  <si>
    <t xml:space="preserve">8 persons</t>
  </si>
  <si>
    <t xml:space="preserve">REEM.NASSER@EXAMPLE.COM</t>
  </si>
  <si>
    <t xml:space="preserve">SAMI NAJJAR</t>
  </si>
  <si>
    <t xml:space="preserve">deir el-balah</t>
  </si>
  <si>
    <t xml:space="preserve">0597479146</t>
  </si>
  <si>
    <t xml:space="preserve">07/09/2026</t>
  </si>
  <si>
    <t xml:space="preserve">4</t>
  </si>
  <si>
    <t xml:space="preserve">Hygiene kit</t>
  </si>
  <si>
    <t xml:space="preserve">sami.najjar@example.com</t>
  </si>
  <si>
    <t xml:space="preserve">yahya abed</t>
  </si>
  <si>
    <t xml:space="preserve">GAZA</t>
  </si>
  <si>
    <t xml:space="preserve">0595482348</t>
  </si>
  <si>
    <t xml:space="preserve">08/29/2026</t>
  </si>
  <si>
    <t xml:space="preserve">yahya.abed@example.com</t>
  </si>
  <si>
    <t xml:space="preserve">Fadi Hassan</t>
  </si>
  <si>
    <t xml:space="preserve">0598-479-324</t>
  </si>
  <si>
    <t xml:space="preserve">14-Aug-26</t>
  </si>
  <si>
    <t xml:space="preserve">FADI.HASSAN@EXAMPLE.COM</t>
  </si>
  <si>
    <t xml:space="preserve">noor khalil</t>
  </si>
  <si>
    <t xml:space="preserve">gaza</t>
  </si>
  <si>
    <t xml:space="preserve">597542182</t>
  </si>
  <si>
    <t xml:space="preserve">10 August 2026</t>
  </si>
  <si>
    <t xml:space="preserve">11</t>
  </si>
  <si>
    <t xml:space="preserve">noor.khalil@example.com</t>
  </si>
  <si>
    <t xml:space="preserve">Nader Qasem</t>
  </si>
  <si>
    <t xml:space="preserve">Gaza City</t>
  </si>
  <si>
    <t xml:space="preserve">+970 595 729 908</t>
  </si>
  <si>
    <t xml:space="preserve">08-Aug-26</t>
  </si>
  <si>
    <t xml:space="preserve">2 persons</t>
  </si>
  <si>
    <t xml:space="preserve">NADER.QASEM@EXAMPLE.COM</t>
  </si>
  <si>
    <t xml:space="preserve">wael shaheen</t>
  </si>
  <si>
    <t xml:space="preserve">2026-08-06</t>
  </si>
  <si>
    <t xml:space="preserve">wael.shaheen@example.com</t>
  </si>
  <si>
    <t xml:space="preserve">amal matar</t>
  </si>
  <si>
    <t xml:space="preserve">0595-314-301</t>
  </si>
  <si>
    <t xml:space="preserve">13 August 2026</t>
  </si>
  <si>
    <t xml:space="preserve">10</t>
  </si>
  <si>
    <t xml:space="preserve">amal.matar@example.com</t>
  </si>
  <si>
    <t xml:space="preserve">reem khalil</t>
  </si>
  <si>
    <t xml:space="preserve">Nusirat</t>
  </si>
  <si>
    <t xml:space="preserve">+970 595 723 241</t>
  </si>
  <si>
    <t xml:space="preserve">22 August 2026</t>
  </si>
  <si>
    <t xml:space="preserve">reem.khalil@example.com</t>
  </si>
  <si>
    <t xml:space="preserve">  Hani   Najjar </t>
  </si>
  <si>
    <t xml:space="preserve">0596801133</t>
  </si>
  <si>
    <t xml:space="preserve">1</t>
  </si>
  <si>
    <t xml:space="preserve">hani.najjar@example.com</t>
  </si>
  <si>
    <t xml:space="preserve">  Huda   Matar </t>
  </si>
  <si>
    <t xml:space="preserve">10/09/2026</t>
  </si>
  <si>
    <t xml:space="preserve">huda.matar@example.com</t>
  </si>
  <si>
    <t xml:space="preserve">Sami Najjar</t>
  </si>
  <si>
    <t xml:space="preserve">Wael Shaheen</t>
  </si>
  <si>
    <t xml:space="preserve">REEM QASEM</t>
  </si>
  <si>
    <t xml:space="preserve">0599-698-951</t>
  </si>
  <si>
    <t xml:space="preserve">2026-08-07</t>
  </si>
  <si>
    <t xml:space="preserve">6</t>
  </si>
  <si>
    <t xml:space="preserve">reem.qasem@example.com</t>
  </si>
  <si>
    <t xml:space="preserve">Omar Hamdan</t>
  </si>
  <si>
    <t xml:space="preserve">+970 590 938 186</t>
  </si>
  <si>
    <t xml:space="preserve">02-Aug-26</t>
  </si>
  <si>
    <t xml:space="preserve">omar.hamdan@example.com</t>
  </si>
  <si>
    <t xml:space="preserve">  Yahya   Matar </t>
  </si>
  <si>
    <t xml:space="preserve">23-Aug-26</t>
  </si>
  <si>
    <t xml:space="preserve">yahya.matar@example.com</t>
  </si>
  <si>
    <t xml:space="preserve">Khaled Nasser</t>
  </si>
  <si>
    <t xml:space="preserve">30/09/2026</t>
  </si>
  <si>
    <t xml:space="preserve">khaled.nasser@example.com</t>
  </si>
  <si>
    <t xml:space="preserve">Asma Barakat</t>
  </si>
  <si>
    <t xml:space="preserve">Dair al Balah</t>
  </si>
  <si>
    <t xml:space="preserve">+970 593 129 353</t>
  </si>
  <si>
    <t xml:space="preserve">2026-09-22</t>
  </si>
  <si>
    <t xml:space="preserve">asma.barakat@example.com</t>
  </si>
  <si>
    <t xml:space="preserve">AMAL ODEH</t>
  </si>
  <si>
    <t xml:space="preserve">0599-515-949</t>
  </si>
  <si>
    <t xml:space="preserve">amal.odeh@example.com</t>
  </si>
  <si>
    <t xml:space="preserve">Khaled Hamdan</t>
  </si>
  <si>
    <t xml:space="preserve">0595-876-314</t>
  </si>
  <si>
    <t xml:space="preserve">07-Aug-26</t>
  </si>
  <si>
    <t xml:space="preserve">khaled.hamdan@example.com</t>
  </si>
  <si>
    <t xml:space="preserve">Ziad Odeh</t>
  </si>
  <si>
    <t xml:space="preserve">598325127</t>
  </si>
  <si>
    <t xml:space="preserve">28-Sep-26</t>
  </si>
  <si>
    <t xml:space="preserve">ziad.odeh@example.com</t>
  </si>
  <si>
    <t xml:space="preserve">fadi hamdan</t>
  </si>
  <si>
    <t xml:space="preserve">04 September 2026</t>
  </si>
  <si>
    <t xml:space="preserve">fadi.hamdan@example.com</t>
  </si>
  <si>
    <t xml:space="preserve">HIBA QASEM</t>
  </si>
  <si>
    <t xml:space="preserve">08/28/2026</t>
  </si>
  <si>
    <t xml:space="preserve">hiba.qasem@example.com</t>
  </si>
  <si>
    <t xml:space="preserve">RANA HASSAN</t>
  </si>
  <si>
    <t xml:space="preserve">+970 596 660 559</t>
  </si>
  <si>
    <t xml:space="preserve">10 persons</t>
  </si>
  <si>
    <t xml:space="preserve">rana.hassan@example.com</t>
  </si>
  <si>
    <t xml:space="preserve">Amal Matar</t>
  </si>
  <si>
    <t xml:space="preserve">hani shaheen</t>
  </si>
  <si>
    <t xml:space="preserve">09-Sep-26</t>
  </si>
  <si>
    <t xml:space="preserve">hani.shaheen@example.com</t>
  </si>
  <si>
    <t xml:space="preserve">omar shaheen</t>
  </si>
  <si>
    <t xml:space="preserve">00970596620625</t>
  </si>
  <si>
    <t xml:space="preserve">26 August 2026</t>
  </si>
  <si>
    <t xml:space="preserve">omar.shaheen@example.com</t>
  </si>
  <si>
    <t xml:space="preserve">aya abed</t>
  </si>
  <si>
    <t xml:space="preserve">597794655</t>
  </si>
  <si>
    <t xml:space="preserve">27-Sep-26</t>
  </si>
  <si>
    <t xml:space="preserve">AYA.ABED@EXAMPLE.COM</t>
  </si>
  <si>
    <t xml:space="preserve">Omar Odeh</t>
  </si>
  <si>
    <t xml:space="preserve">Nuseirat</t>
  </si>
  <si>
    <t xml:space="preserve">598511439</t>
  </si>
  <si>
    <t xml:space="preserve">30/08/2026</t>
  </si>
  <si>
    <t xml:space="preserve">7 persons</t>
  </si>
  <si>
    <t xml:space="preserve">omar.odeh@example.com</t>
  </si>
  <si>
    <t xml:space="preserve">wael awad</t>
  </si>
  <si>
    <t xml:space="preserve">+970 596 341 960</t>
  </si>
  <si>
    <t xml:space="preserve">23 August 2026</t>
  </si>
  <si>
    <t xml:space="preserve">wael.awad@example.com</t>
  </si>
  <si>
    <t xml:space="preserve">  Noor   Abed </t>
  </si>
  <si>
    <t xml:space="preserve">noor.abed@example.com</t>
  </si>
  <si>
    <t xml:space="preserve">Hiba Abed</t>
  </si>
  <si>
    <t xml:space="preserve">21/09/2026</t>
  </si>
  <si>
    <t xml:space="preserve">hiba.abed@example.com</t>
  </si>
  <si>
    <t xml:space="preserve">Record ID</t>
  </si>
  <si>
    <t xml:space="preserve">Phone (+970)</t>
  </si>
  <si>
    <t xml:space="preserve">Data Check</t>
  </si>
  <si>
    <t xml:space="preserve">BEN-2001</t>
  </si>
  <si>
    <t xml:space="preserve">Dina Shaheen</t>
  </si>
  <si>
    <t xml:space="preserve">+970 597 971 464</t>
  </si>
  <si>
    <t xml:space="preserve">BEN-2002</t>
  </si>
  <si>
    <t xml:space="preserve">BEN-2003</t>
  </si>
  <si>
    <t xml:space="preserve">BEN-2004</t>
  </si>
  <si>
    <t xml:space="preserve">Reem Qasem</t>
  </si>
  <si>
    <t xml:space="preserve">+970 599 698 951</t>
  </si>
  <si>
    <t xml:space="preserve">BEN-2005</t>
  </si>
  <si>
    <t xml:space="preserve">+970 595 876 314</t>
  </si>
  <si>
    <t xml:space="preserve">BEN-2006</t>
  </si>
  <si>
    <t xml:space="preserve">nader.qasem@example.com</t>
  </si>
  <si>
    <t xml:space="preserve">BEN-2007</t>
  </si>
  <si>
    <t xml:space="preserve">Yahya Haddad</t>
  </si>
  <si>
    <t xml:space="preserve">BEN-2008</t>
  </si>
  <si>
    <t xml:space="preserve">Noor Khalil</t>
  </si>
  <si>
    <t xml:space="preserve">+970 597 542 182</t>
  </si>
  <si>
    <t xml:space="preserve">BEN-2009</t>
  </si>
  <si>
    <t xml:space="preserve">Rana Hassan</t>
  </si>
  <si>
    <t xml:space="preserve">BEN-2010</t>
  </si>
  <si>
    <t xml:space="preserve">+970 595 314 301</t>
  </si>
  <si>
    <t xml:space="preserve">BEN-2011</t>
  </si>
  <si>
    <t xml:space="preserve">+970 598 479 324</t>
  </si>
  <si>
    <t xml:space="preserve">fadi.hassan@example.com</t>
  </si>
  <si>
    <t xml:space="preserve">BEN-2012</t>
  </si>
  <si>
    <t xml:space="preserve">BEN-2013</t>
  </si>
  <si>
    <t xml:space="preserve">Reem Hamdan</t>
  </si>
  <si>
    <t xml:space="preserve">+970 596 251 262</t>
  </si>
  <si>
    <t xml:space="preserve">BEN-2014</t>
  </si>
  <si>
    <t xml:space="preserve">Aya Najjar</t>
  </si>
  <si>
    <t xml:space="preserve">aya.najjar@example.com</t>
  </si>
  <si>
    <t xml:space="preserve">BEN-2015</t>
  </si>
  <si>
    <t xml:space="preserve">Hani Najjar</t>
  </si>
  <si>
    <t xml:space="preserve">+970 596 801 133</t>
  </si>
  <si>
    <t xml:space="preserve">BEN-2016</t>
  </si>
  <si>
    <t xml:space="preserve">+970 598 656 506</t>
  </si>
  <si>
    <t xml:space="preserve">BEN-2017</t>
  </si>
  <si>
    <t xml:space="preserve">Reem Khalil</t>
  </si>
  <si>
    <t xml:space="preserve">BEN-2018</t>
  </si>
  <si>
    <t xml:space="preserve">Yahya Matar</t>
  </si>
  <si>
    <t xml:space="preserve">BEN-2019</t>
  </si>
  <si>
    <t xml:space="preserve">Wael Awad</t>
  </si>
  <si>
    <t xml:space="preserve">BEN-2020</t>
  </si>
  <si>
    <t xml:space="preserve">BEN-2021</t>
  </si>
  <si>
    <t xml:space="preserve">Omar Shaheen</t>
  </si>
  <si>
    <t xml:space="preserve">+970 596 620 625</t>
  </si>
  <si>
    <t xml:space="preserve">BEN-2022</t>
  </si>
  <si>
    <t xml:space="preserve">Hiba Qasem</t>
  </si>
  <si>
    <t xml:space="preserve">BEN-2023</t>
  </si>
  <si>
    <t xml:space="preserve">Yahya Abed</t>
  </si>
  <si>
    <t xml:space="preserve">+970 595 482 348</t>
  </si>
  <si>
    <t xml:space="preserve">BEN-2024</t>
  </si>
  <si>
    <t xml:space="preserve">+970 598 511 439</t>
  </si>
  <si>
    <t xml:space="preserve">BEN-2025</t>
  </si>
  <si>
    <t xml:space="preserve">Ziad Hamdan</t>
  </si>
  <si>
    <t xml:space="preserve">BEN-2026</t>
  </si>
  <si>
    <t xml:space="preserve">Fadi Hamdan</t>
  </si>
  <si>
    <t xml:space="preserve">BEN-2027</t>
  </si>
  <si>
    <t xml:space="preserve">Reem Nasser</t>
  </si>
  <si>
    <t xml:space="preserve">+970 590 749 078</t>
  </si>
  <si>
    <t xml:space="preserve">reem.nasser@example.com</t>
  </si>
  <si>
    <t xml:space="preserve">BEN-2028</t>
  </si>
  <si>
    <t xml:space="preserve">Amal Odeh</t>
  </si>
  <si>
    <t xml:space="preserve">+970 599 515 949</t>
  </si>
  <si>
    <t xml:space="preserve">BEN-2029</t>
  </si>
  <si>
    <t xml:space="preserve">+970 597 479 146</t>
  </si>
  <si>
    <t xml:space="preserve">BEN-2030</t>
  </si>
  <si>
    <t xml:space="preserve">Lina Qasem</t>
  </si>
  <si>
    <t xml:space="preserve">BEN-2031</t>
  </si>
  <si>
    <t xml:space="preserve">Hani Shaheen</t>
  </si>
  <si>
    <t xml:space="preserve">BEN-2032</t>
  </si>
  <si>
    <t xml:space="preserve">Huda Matar</t>
  </si>
  <si>
    <t xml:space="preserve">BEN-2033</t>
  </si>
  <si>
    <t xml:space="preserve">BEN-2034</t>
  </si>
  <si>
    <t xml:space="preserve">+970 592 278 261</t>
  </si>
  <si>
    <t xml:space="preserve">BEN-2035</t>
  </si>
  <si>
    <t xml:space="preserve">+970 599 441 824</t>
  </si>
  <si>
    <t xml:space="preserve">fadi.shaheen@example.com</t>
  </si>
  <si>
    <t xml:space="preserve">BEN-2036</t>
  </si>
  <si>
    <t xml:space="preserve">BEN-2037</t>
  </si>
  <si>
    <t xml:space="preserve">Noor Abed</t>
  </si>
  <si>
    <t xml:space="preserve">BEN-2038</t>
  </si>
  <si>
    <t xml:space="preserve">Ziad Najjar</t>
  </si>
  <si>
    <t xml:space="preserve">+970 592 741 281</t>
  </si>
  <si>
    <t xml:space="preserve">BEN-2039</t>
  </si>
  <si>
    <t xml:space="preserve">BEN-2040</t>
  </si>
  <si>
    <t xml:space="preserve">BEN-2041</t>
  </si>
  <si>
    <t xml:space="preserve">Huda Saleh</t>
  </si>
  <si>
    <t xml:space="preserve">huda.saleh@example.com</t>
  </si>
  <si>
    <t xml:space="preserve">BEN-2042</t>
  </si>
  <si>
    <t xml:space="preserve">Tariq Darwish</t>
  </si>
  <si>
    <t xml:space="preserve">+970 592 959 077</t>
  </si>
  <si>
    <t xml:space="preserve">tariq.darwish@example.com</t>
  </si>
  <si>
    <t xml:space="preserve">BEN-2043</t>
  </si>
  <si>
    <t xml:space="preserve">Aya Abed</t>
  </si>
  <si>
    <t xml:space="preserve">+970 597 794 655</t>
  </si>
  <si>
    <t xml:space="preserve">aya.abed@example.com</t>
  </si>
  <si>
    <t xml:space="preserve">BEN-2044</t>
  </si>
  <si>
    <t xml:space="preserve">+970 598 325 127</t>
  </si>
  <si>
    <t xml:space="preserve">BEN-2045</t>
  </si>
  <si>
    <t xml:space="preserve">What was fixed</t>
  </si>
  <si>
    <t xml:space="preserve">Check</t>
  </si>
  <si>
    <t xml:space="preserve">Result</t>
  </si>
  <si>
    <t xml:space="preserve">How it was handled</t>
  </si>
  <si>
    <t xml:space="preserve">Rows received (raw)</t>
  </si>
  <si>
    <t xml:space="preserve">Original export, no changes.</t>
  </si>
  <si>
    <t xml:space="preserve">Duplicate records removed</t>
  </si>
  <si>
    <t xml:space="preserve">Same person entered twice with different spacing/case – kept one record.</t>
  </si>
  <si>
    <t xml:space="preserve">Clean, unique records</t>
  </si>
  <si>
    <t xml:space="preserve">Each record given a unique Record ID (BEN-xxxx).</t>
  </si>
  <si>
    <t xml:space="preserve">Names standardised</t>
  </si>
  <si>
    <t xml:space="preserve">Trimmed extra spaces, Proper Case (e.g. 'AHMAD  HASSAN' → 'Ahmad Hassan').</t>
  </si>
  <si>
    <t xml:space="preserve">City spellings unified</t>
  </si>
  <si>
    <t xml:space="preserve">17 spelling variants mapped to 5 standard city names.</t>
  </si>
  <si>
    <t xml:space="preserve">Phone numbers standardised</t>
  </si>
  <si>
    <t xml:space="preserve">All formats (00970…, 059-…, missing 0) converted to +970 5X XXX XXXX.</t>
  </si>
  <si>
    <t xml:space="preserve">Dates converted to real dates</t>
  </si>
  <si>
    <t xml:space="preserve">5 text formats incl. mixed day/month order (31/08/2026, 2026-08-31, 31-Aug-26 …) → real dates.</t>
  </si>
  <si>
    <t xml:space="preserve">Family size made numeric</t>
  </si>
  <si>
    <t xml:space="preserve">Removed text such as '5 persons' so totals and averages work.</t>
  </si>
  <si>
    <t xml:space="preserve">Records still missing data</t>
  </si>
  <si>
    <t xml:space="preserve">Flagged in the 'Data Check' column for follow-up – not guessed.</t>
  </si>
  <si>
    <t xml:space="preserve">Total individuals (clean data)</t>
  </si>
  <si>
    <t xml:space="preserve">Now possible because family size is numeric.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</si>
</sst>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5B6B7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14"/>
      <color rgb="FF1F3A5F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C0392B"/>
        <bgColor rgb="FF993366"/>
      </patternFill>
    </fill>
    <fill>
      <patternFill patternType="solid">
        <fgColor rgb="FF2A9D8F"/>
        <bgColor rgb="FF008080"/>
      </patternFill>
    </fill>
    <fill>
      <patternFill patternType="solid">
        <fgColor rgb="FFEEF3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FFF3CD"/>
        </patternFill>
      </fill>
    </dxf>
    <dxf>
      <fill>
        <patternFill>
          <bgColor rgb="FFFDE2E1"/>
        </patternFill>
      </fill>
    </dxf>
    <dxf>
      <fill>
        <patternFill patternType="solid">
          <fgColor rgb="FF2A9D8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1E6B4A"/>
          <bgColor rgb="FF000000"/>
        </patternFill>
      </fill>
    </dxf>
    <dxf>
      <fill>
        <patternFill patternType="solid">
          <fgColor rgb="FF8A6100"/>
          <bgColor rgb="FF000000"/>
        </patternFill>
      </fill>
    </dxf>
    <dxf>
      <font>
        <name val="Arial"/>
        <charset val="1"/>
        <family val="0"/>
        <b val="1"/>
        <color rgb="FF1E6B4A"/>
      </font>
    </dxf>
    <dxf>
      <font>
        <name val="Arial"/>
        <charset val="1"/>
        <family val="0"/>
        <color rgb="FF8A6100"/>
      </font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1E6B4A"/>
      <rgbColor rgb="FFC0C0C0"/>
      <rgbColor rgb="FF808080"/>
      <rgbColor rgb="FF9999FF"/>
      <rgbColor rgb="FF993366"/>
      <rgbColor rgb="FFFFF3CD"/>
      <rgbColor rgb="FFEEF3F8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5B6B7F"/>
      <rgbColor rgb="FF969696"/>
      <rgbColor rgb="FF1F3A5F"/>
      <rgbColor rgb="FF2A9D8F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leanData" displayName="CleanData" ref="A1:I46" headerRowCount="1" totalsRowCount="0" totalsRowShown="0">
  <autoFilter ref="A1:I46"/>
  <tableColumns count="9">
    <tableColumn id="1" name="Record ID"/>
    <tableColumn id="2" name="Full Name"/>
    <tableColumn id="3" name="City"/>
    <tableColumn id="4" name="Phone (+970)"/>
    <tableColumn id="5" name="Registration Date"/>
    <tableColumn id="6" name="Family Members"/>
    <tableColumn id="7" name="Program"/>
    <tableColumn id="8" name="Email"/>
    <tableColumn id="9" name="Data Chec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70"/>
  </cols>
  <sheetData>
    <row r="2" customFormat="false" ht="37.5" hidden="false" customHeight="tru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48" hidden="false" customHeight="true" outlineLevel="0" collapsed="false">
      <c r="B5" s="3" t="s">
        <v>2</v>
      </c>
      <c r="C5" s="4" t="s">
        <v>3</v>
      </c>
    </row>
    <row r="6" customFormat="false" ht="48" hidden="false" customHeight="true" outlineLevel="0" collapsed="false">
      <c r="B6" s="3" t="s">
        <v>4</v>
      </c>
      <c r="C6" s="4" t="s">
        <v>5</v>
      </c>
    </row>
    <row r="7" customFormat="false" ht="51.75" hidden="false" customHeight="true" outlineLevel="0" collapsed="false">
      <c r="B7" s="3" t="s">
        <v>6</v>
      </c>
      <c r="C7" s="4" t="s">
        <v>7</v>
      </c>
    </row>
    <row r="8" customFormat="false" ht="48" hidden="false" customHeight="true" outlineLevel="0" collapsed="false">
      <c r="B8" s="3" t="s">
        <v>8</v>
      </c>
      <c r="C8" s="4" t="s">
        <v>9</v>
      </c>
    </row>
    <row r="9" customFormat="false" ht="48" hidden="false" customHeight="true" outlineLevel="0" collapsed="false">
      <c r="B9" s="3" t="s">
        <v>10</v>
      </c>
      <c r="C9" s="4" t="s">
        <v>11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3" style="0" width="2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34"/>
  </cols>
  <sheetData>
    <row r="1" customFormat="false" ht="24" hidden="false" customHeight="tru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</row>
    <row r="2" customFormat="false" ht="15" hidden="false" customHeight="false" outlineLevel="0" collapsed="false">
      <c r="A2" s="6" t="s">
        <v>19</v>
      </c>
      <c r="B2" s="6"/>
      <c r="C2" s="6"/>
      <c r="D2" s="6" t="s">
        <v>20</v>
      </c>
      <c r="E2" s="6" t="s">
        <v>21</v>
      </c>
      <c r="F2" s="6" t="s">
        <v>22</v>
      </c>
      <c r="G2" s="6" t="s">
        <v>23</v>
      </c>
    </row>
    <row r="3" customFormat="false" ht="15" hidden="false" customHeight="false" outlineLevel="0" collapsed="false">
      <c r="A3" s="6" t="s">
        <v>24</v>
      </c>
      <c r="B3" s="6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30</v>
      </c>
    </row>
    <row r="4" customFormat="false" ht="15" hidden="false" customHeight="false" outlineLevel="0" collapsed="false">
      <c r="A4" s="6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</row>
    <row r="5" customFormat="false" ht="15" hidden="false" customHeight="false" outlineLevel="0" collapsed="false">
      <c r="A5" s="6" t="s">
        <v>38</v>
      </c>
      <c r="B5" s="6" t="s">
        <v>39</v>
      </c>
      <c r="C5" s="6" t="s">
        <v>40</v>
      </c>
      <c r="D5" s="6" t="s">
        <v>41</v>
      </c>
      <c r="E5" s="6" t="s">
        <v>42</v>
      </c>
      <c r="F5" s="6" t="s">
        <v>36</v>
      </c>
      <c r="G5" s="6" t="s">
        <v>43</v>
      </c>
    </row>
    <row r="6" customFormat="false" ht="15" hidden="false" customHeight="false" outlineLevel="0" collapsed="false">
      <c r="A6" s="6" t="s">
        <v>44</v>
      </c>
      <c r="B6" s="6" t="s">
        <v>45</v>
      </c>
      <c r="C6" s="6" t="s">
        <v>46</v>
      </c>
      <c r="D6" s="6" t="s">
        <v>47</v>
      </c>
      <c r="E6" s="6" t="n">
        <v>8</v>
      </c>
      <c r="F6" s="6" t="s">
        <v>22</v>
      </c>
      <c r="G6" s="6" t="s">
        <v>48</v>
      </c>
    </row>
    <row r="7" customFormat="false" ht="15" hidden="false" customHeight="false" outlineLevel="0" collapsed="false">
      <c r="A7" s="6" t="s">
        <v>49</v>
      </c>
      <c r="B7" s="6" t="s">
        <v>50</v>
      </c>
      <c r="C7" s="6"/>
      <c r="D7" s="6" t="s">
        <v>51</v>
      </c>
      <c r="E7" s="6" t="n">
        <v>4</v>
      </c>
      <c r="F7" s="6" t="s">
        <v>36</v>
      </c>
      <c r="G7" s="6" t="s">
        <v>52</v>
      </c>
    </row>
    <row r="8" customFormat="false" ht="15" hidden="false" customHeight="false" outlineLevel="0" collapsed="false">
      <c r="A8" s="6" t="s">
        <v>53</v>
      </c>
      <c r="B8" s="6" t="s">
        <v>32</v>
      </c>
      <c r="C8" s="6" t="s">
        <v>33</v>
      </c>
      <c r="D8" s="6" t="s">
        <v>34</v>
      </c>
      <c r="E8" s="6" t="s">
        <v>35</v>
      </c>
      <c r="F8" s="6" t="s">
        <v>36</v>
      </c>
      <c r="G8" s="6" t="s">
        <v>37</v>
      </c>
    </row>
    <row r="9" customFormat="false" ht="15" hidden="false" customHeight="false" outlineLevel="0" collapsed="false">
      <c r="A9" s="6" t="s">
        <v>54</v>
      </c>
      <c r="B9" s="6" t="s">
        <v>55</v>
      </c>
      <c r="C9" s="6" t="s">
        <v>56</v>
      </c>
      <c r="D9" s="6" t="s">
        <v>57</v>
      </c>
      <c r="E9" s="6" t="s">
        <v>58</v>
      </c>
      <c r="F9" s="6" t="s">
        <v>59</v>
      </c>
      <c r="G9" s="6" t="s">
        <v>60</v>
      </c>
    </row>
    <row r="10" customFormat="false" ht="15" hidden="false" customHeight="false" outlineLevel="0" collapsed="false">
      <c r="A10" s="6" t="s">
        <v>61</v>
      </c>
      <c r="B10" s="6" t="s">
        <v>62</v>
      </c>
      <c r="C10" s="6"/>
      <c r="D10" s="6" t="s">
        <v>63</v>
      </c>
      <c r="E10" s="6" t="s">
        <v>35</v>
      </c>
      <c r="F10" s="6" t="s">
        <v>59</v>
      </c>
      <c r="G10" s="6" t="s">
        <v>64</v>
      </c>
    </row>
    <row r="11" customFormat="false" ht="15" hidden="false" customHeight="false" outlineLevel="0" collapsed="false">
      <c r="A11" s="6" t="s">
        <v>65</v>
      </c>
      <c r="B11" s="6" t="s">
        <v>32</v>
      </c>
      <c r="C11" s="6"/>
      <c r="D11" s="6" t="s">
        <v>66</v>
      </c>
      <c r="E11" s="6" t="s">
        <v>67</v>
      </c>
      <c r="F11" s="6" t="s">
        <v>36</v>
      </c>
      <c r="G11" s="6" t="s">
        <v>68</v>
      </c>
    </row>
    <row r="12" customFormat="false" ht="15" hidden="false" customHeight="false" outlineLevel="0" collapsed="false">
      <c r="A12" s="6" t="s">
        <v>69</v>
      </c>
      <c r="B12" s="6"/>
      <c r="C12" s="6" t="s">
        <v>70</v>
      </c>
      <c r="D12" s="6" t="s">
        <v>71</v>
      </c>
      <c r="E12" s="6" t="s">
        <v>21</v>
      </c>
      <c r="F12" s="6" t="s">
        <v>72</v>
      </c>
      <c r="G12" s="6" t="s">
        <v>73</v>
      </c>
    </row>
    <row r="13" customFormat="false" ht="15" hidden="false" customHeight="false" outlineLevel="0" collapsed="false">
      <c r="A13" s="6" t="s">
        <v>74</v>
      </c>
      <c r="B13" s="6" t="s">
        <v>75</v>
      </c>
      <c r="C13" s="6" t="s">
        <v>76</v>
      </c>
      <c r="D13" s="6" t="s">
        <v>77</v>
      </c>
      <c r="E13" s="6" t="n">
        <v>1</v>
      </c>
      <c r="F13" s="6" t="s">
        <v>22</v>
      </c>
      <c r="G13" s="6" t="s">
        <v>78</v>
      </c>
    </row>
    <row r="14" customFormat="false" ht="15" hidden="false" customHeight="false" outlineLevel="0" collapsed="false">
      <c r="A14" s="6" t="s">
        <v>79</v>
      </c>
      <c r="B14" s="6" t="s">
        <v>75</v>
      </c>
      <c r="C14" s="6" t="s">
        <v>80</v>
      </c>
      <c r="D14" s="6" t="s">
        <v>81</v>
      </c>
      <c r="E14" s="6" t="n">
        <v>8</v>
      </c>
      <c r="F14" s="6" t="s">
        <v>82</v>
      </c>
      <c r="G14" s="6" t="s">
        <v>83</v>
      </c>
    </row>
    <row r="15" customFormat="false" ht="15" hidden="false" customHeight="false" outlineLevel="0" collapsed="false">
      <c r="A15" s="6" t="s">
        <v>84</v>
      </c>
      <c r="B15" s="6" t="s">
        <v>85</v>
      </c>
      <c r="C15" s="6" t="s">
        <v>86</v>
      </c>
      <c r="D15" s="6" t="s">
        <v>87</v>
      </c>
      <c r="E15" s="6" t="s">
        <v>88</v>
      </c>
      <c r="F15" s="6" t="s">
        <v>89</v>
      </c>
      <c r="G15" s="6" t="s">
        <v>90</v>
      </c>
    </row>
    <row r="16" customFormat="false" ht="15" hidden="false" customHeight="false" outlineLevel="0" collapsed="false">
      <c r="A16" s="6" t="s">
        <v>91</v>
      </c>
      <c r="B16" s="6" t="s">
        <v>55</v>
      </c>
      <c r="C16" s="6" t="s">
        <v>92</v>
      </c>
      <c r="D16" s="6" t="s">
        <v>93</v>
      </c>
      <c r="E16" s="6" t="s">
        <v>67</v>
      </c>
      <c r="F16" s="6" t="s">
        <v>36</v>
      </c>
      <c r="G16" s="6" t="s">
        <v>94</v>
      </c>
    </row>
    <row r="17" customFormat="false" ht="15" hidden="false" customHeight="false" outlineLevel="0" collapsed="false">
      <c r="A17" s="6" t="s">
        <v>95</v>
      </c>
      <c r="B17" s="6" t="s">
        <v>50</v>
      </c>
      <c r="C17" s="6" t="s">
        <v>96</v>
      </c>
      <c r="D17" s="6" t="s">
        <v>97</v>
      </c>
      <c r="E17" s="6" t="s">
        <v>35</v>
      </c>
      <c r="F17" s="6" t="s">
        <v>89</v>
      </c>
      <c r="G17" s="6" t="s">
        <v>98</v>
      </c>
    </row>
    <row r="18" customFormat="false" ht="15" hidden="false" customHeight="false" outlineLevel="0" collapsed="false">
      <c r="A18" s="6" t="s">
        <v>99</v>
      </c>
      <c r="B18" s="6" t="s">
        <v>75</v>
      </c>
      <c r="C18" s="6"/>
      <c r="D18" s="6" t="s">
        <v>100</v>
      </c>
      <c r="E18" s="6" t="n">
        <v>2</v>
      </c>
      <c r="F18" s="6" t="s">
        <v>59</v>
      </c>
      <c r="G18" s="6" t="s">
        <v>101</v>
      </c>
    </row>
    <row r="19" customFormat="false" ht="15" hidden="false" customHeight="false" outlineLevel="0" collapsed="false">
      <c r="A19" s="6" t="s">
        <v>102</v>
      </c>
      <c r="B19" s="6" t="s">
        <v>103</v>
      </c>
      <c r="C19" s="6" t="s">
        <v>104</v>
      </c>
      <c r="D19" s="6" t="s">
        <v>105</v>
      </c>
      <c r="E19" s="6" t="s">
        <v>106</v>
      </c>
      <c r="F19" s="6" t="s">
        <v>29</v>
      </c>
      <c r="G19" s="6" t="s">
        <v>107</v>
      </c>
    </row>
    <row r="20" customFormat="false" ht="15" hidden="false" customHeight="false" outlineLevel="0" collapsed="false">
      <c r="A20" s="6" t="s">
        <v>108</v>
      </c>
      <c r="B20" s="6" t="s">
        <v>109</v>
      </c>
      <c r="C20" s="6" t="s">
        <v>110</v>
      </c>
      <c r="D20" s="6" t="s">
        <v>111</v>
      </c>
      <c r="E20" s="6" t="s">
        <v>112</v>
      </c>
      <c r="F20" s="6" t="s">
        <v>113</v>
      </c>
      <c r="G20" s="6" t="s">
        <v>114</v>
      </c>
    </row>
    <row r="21" customFormat="false" ht="15" hidden="false" customHeight="false" outlineLevel="0" collapsed="false">
      <c r="A21" s="6" t="s">
        <v>115</v>
      </c>
      <c r="B21" s="6" t="s">
        <v>116</v>
      </c>
      <c r="C21" s="6" t="s">
        <v>117</v>
      </c>
      <c r="D21" s="6" t="s">
        <v>118</v>
      </c>
      <c r="E21" s="6" t="s">
        <v>112</v>
      </c>
      <c r="F21" s="6" t="s">
        <v>82</v>
      </c>
      <c r="G21" s="6" t="s">
        <v>119</v>
      </c>
    </row>
    <row r="22" customFormat="false" ht="15" hidden="false" customHeight="false" outlineLevel="0" collapsed="false">
      <c r="A22" s="6" t="s">
        <v>120</v>
      </c>
      <c r="B22" s="6" t="s">
        <v>103</v>
      </c>
      <c r="C22" s="6" t="s">
        <v>121</v>
      </c>
      <c r="D22" s="6" t="s">
        <v>122</v>
      </c>
      <c r="E22" s="6" t="s">
        <v>35</v>
      </c>
      <c r="F22" s="6" t="s">
        <v>22</v>
      </c>
      <c r="G22" s="6" t="s">
        <v>123</v>
      </c>
    </row>
    <row r="23" customFormat="false" ht="15" hidden="false" customHeight="false" outlineLevel="0" collapsed="false">
      <c r="A23" s="6" t="s">
        <v>124</v>
      </c>
      <c r="B23" s="6" t="s">
        <v>125</v>
      </c>
      <c r="C23" s="6" t="s">
        <v>126</v>
      </c>
      <c r="D23" s="6" t="s">
        <v>127</v>
      </c>
      <c r="E23" s="6" t="s">
        <v>128</v>
      </c>
      <c r="F23" s="6" t="s">
        <v>22</v>
      </c>
      <c r="G23" s="6" t="s">
        <v>129</v>
      </c>
    </row>
    <row r="24" customFormat="false" ht="15" hidden="false" customHeight="false" outlineLevel="0" collapsed="false">
      <c r="A24" s="6" t="s">
        <v>130</v>
      </c>
      <c r="B24" s="6" t="s">
        <v>131</v>
      </c>
      <c r="C24" s="6" t="s">
        <v>132</v>
      </c>
      <c r="D24" s="6" t="s">
        <v>133</v>
      </c>
      <c r="E24" s="6" t="s">
        <v>134</v>
      </c>
      <c r="F24" s="6" t="s">
        <v>22</v>
      </c>
      <c r="G24" s="6" t="s">
        <v>135</v>
      </c>
    </row>
    <row r="25" customFormat="false" ht="15" hidden="false" customHeight="false" outlineLevel="0" collapsed="false">
      <c r="A25" s="6" t="s">
        <v>136</v>
      </c>
      <c r="B25" s="6" t="s">
        <v>75</v>
      </c>
      <c r="C25" s="6"/>
      <c r="D25" s="6" t="s">
        <v>137</v>
      </c>
      <c r="E25" s="6" t="s">
        <v>67</v>
      </c>
      <c r="F25" s="6" t="s">
        <v>36</v>
      </c>
      <c r="G25" s="6" t="s">
        <v>138</v>
      </c>
    </row>
    <row r="26" customFormat="false" ht="15" hidden="false" customHeight="false" outlineLevel="0" collapsed="false">
      <c r="A26" s="6" t="s">
        <v>84</v>
      </c>
      <c r="B26" s="6" t="s">
        <v>85</v>
      </c>
      <c r="C26" s="6" t="s">
        <v>86</v>
      </c>
      <c r="D26" s="6" t="s">
        <v>87</v>
      </c>
      <c r="E26" s="6" t="s">
        <v>88</v>
      </c>
      <c r="F26" s="6" t="s">
        <v>89</v>
      </c>
      <c r="G26" s="6" t="s">
        <v>90</v>
      </c>
    </row>
    <row r="27" customFormat="false" ht="15" hidden="false" customHeight="false" outlineLevel="0" collapsed="false">
      <c r="A27" s="6" t="s">
        <v>139</v>
      </c>
      <c r="B27" s="6" t="s">
        <v>32</v>
      </c>
      <c r="C27" s="6" t="s">
        <v>140</v>
      </c>
      <c r="D27" s="6" t="s">
        <v>141</v>
      </c>
      <c r="E27" s="6" t="s">
        <v>142</v>
      </c>
      <c r="F27" s="6" t="s">
        <v>82</v>
      </c>
      <c r="G27" s="6" t="s">
        <v>143</v>
      </c>
    </row>
    <row r="28" customFormat="false" ht="15" hidden="false" customHeight="false" outlineLevel="0" collapsed="false">
      <c r="A28" s="6" t="s">
        <v>144</v>
      </c>
      <c r="B28" s="6" t="s">
        <v>145</v>
      </c>
      <c r="C28" s="6" t="s">
        <v>146</v>
      </c>
      <c r="D28" s="6" t="s">
        <v>147</v>
      </c>
      <c r="E28" s="6" t="n">
        <v>10</v>
      </c>
      <c r="F28" s="6" t="s">
        <v>89</v>
      </c>
      <c r="G28" s="6" t="s">
        <v>148</v>
      </c>
    </row>
    <row r="29" customFormat="false" ht="15" hidden="false" customHeight="false" outlineLevel="0" collapsed="false">
      <c r="A29" s="6" t="s">
        <v>149</v>
      </c>
      <c r="B29" s="6" t="s">
        <v>109</v>
      </c>
      <c r="C29" s="6" t="s">
        <v>150</v>
      </c>
      <c r="D29" s="6" t="s">
        <v>57</v>
      </c>
      <c r="E29" s="6" t="s">
        <v>151</v>
      </c>
      <c r="F29" s="6" t="s">
        <v>29</v>
      </c>
      <c r="G29" s="6" t="s">
        <v>152</v>
      </c>
    </row>
    <row r="30" customFormat="false" ht="15" hidden="false" customHeight="false" outlineLevel="0" collapsed="false">
      <c r="A30" s="6" t="s">
        <v>153</v>
      </c>
      <c r="B30" s="6" t="s">
        <v>45</v>
      </c>
      <c r="C30" s="6"/>
      <c r="D30" s="6" t="s">
        <v>154</v>
      </c>
      <c r="E30" s="6" t="n">
        <v>2</v>
      </c>
      <c r="F30" s="6" t="s">
        <v>72</v>
      </c>
      <c r="G30" s="6" t="s">
        <v>155</v>
      </c>
    </row>
    <row r="31" customFormat="false" ht="15" hidden="false" customHeight="false" outlineLevel="0" collapsed="false">
      <c r="A31" s="6" t="s">
        <v>156</v>
      </c>
      <c r="B31" s="6" t="s">
        <v>109</v>
      </c>
      <c r="C31" s="6" t="s">
        <v>110</v>
      </c>
      <c r="D31" s="6" t="s">
        <v>111</v>
      </c>
      <c r="E31" s="6" t="s">
        <v>112</v>
      </c>
      <c r="F31" s="6" t="s">
        <v>113</v>
      </c>
      <c r="G31" s="6" t="s">
        <v>114</v>
      </c>
    </row>
    <row r="32" customFormat="false" ht="15" hidden="false" customHeight="false" outlineLevel="0" collapsed="false">
      <c r="A32" s="6" t="s">
        <v>157</v>
      </c>
      <c r="B32" s="6" t="s">
        <v>75</v>
      </c>
      <c r="C32" s="6"/>
      <c r="D32" s="6" t="s">
        <v>137</v>
      </c>
      <c r="E32" s="6" t="s">
        <v>67</v>
      </c>
      <c r="F32" s="6" t="s">
        <v>36</v>
      </c>
      <c r="G32" s="6" t="s">
        <v>138</v>
      </c>
    </row>
    <row r="33" customFormat="false" ht="15" hidden="false" customHeight="false" outlineLevel="0" collapsed="false">
      <c r="A33" s="6" t="s">
        <v>158</v>
      </c>
      <c r="B33" s="6" t="s">
        <v>45</v>
      </c>
      <c r="C33" s="6" t="s">
        <v>159</v>
      </c>
      <c r="D33" s="6" t="s">
        <v>160</v>
      </c>
      <c r="E33" s="6" t="s">
        <v>161</v>
      </c>
      <c r="F33" s="6" t="s">
        <v>22</v>
      </c>
      <c r="G33" s="6" t="s">
        <v>162</v>
      </c>
    </row>
    <row r="34" customFormat="false" ht="15" hidden="false" customHeight="false" outlineLevel="0" collapsed="false">
      <c r="A34" s="6" t="s">
        <v>163</v>
      </c>
      <c r="B34" s="6" t="s">
        <v>131</v>
      </c>
      <c r="C34" s="6" t="s">
        <v>164</v>
      </c>
      <c r="D34" s="6" t="s">
        <v>165</v>
      </c>
      <c r="E34" s="6" t="n">
        <v>9</v>
      </c>
      <c r="F34" s="6" t="s">
        <v>113</v>
      </c>
      <c r="G34" s="6" t="s">
        <v>166</v>
      </c>
    </row>
    <row r="35" customFormat="false" ht="15" hidden="false" customHeight="false" outlineLevel="0" collapsed="false">
      <c r="A35" s="6" t="s">
        <v>167</v>
      </c>
      <c r="B35" s="6" t="s">
        <v>62</v>
      </c>
      <c r="C35" s="6"/>
      <c r="D35" s="6" t="s">
        <v>168</v>
      </c>
      <c r="E35" s="6" t="s">
        <v>67</v>
      </c>
      <c r="F35" s="6" t="s">
        <v>59</v>
      </c>
      <c r="G35" s="6" t="s">
        <v>169</v>
      </c>
    </row>
    <row r="36" customFormat="false" ht="15" hidden="false" customHeight="false" outlineLevel="0" collapsed="false">
      <c r="A36" s="6" t="s">
        <v>170</v>
      </c>
      <c r="B36" s="6" t="s">
        <v>125</v>
      </c>
      <c r="C36" s="6"/>
      <c r="D36" s="6" t="s">
        <v>171</v>
      </c>
      <c r="E36" s="6" t="s">
        <v>151</v>
      </c>
      <c r="F36" s="6" t="s">
        <v>36</v>
      </c>
      <c r="G36" s="6" t="s">
        <v>172</v>
      </c>
    </row>
    <row r="37" customFormat="false" ht="15" hidden="false" customHeight="false" outlineLevel="0" collapsed="false">
      <c r="A37" s="6" t="s">
        <v>173</v>
      </c>
      <c r="B37" s="6" t="s">
        <v>174</v>
      </c>
      <c r="C37" s="6" t="s">
        <v>175</v>
      </c>
      <c r="D37" s="6" t="s">
        <v>176</v>
      </c>
      <c r="E37" s="6" t="s">
        <v>112</v>
      </c>
      <c r="F37" s="6" t="s">
        <v>36</v>
      </c>
      <c r="G37" s="6" t="s">
        <v>177</v>
      </c>
    </row>
    <row r="38" customFormat="false" ht="15" hidden="false" customHeight="false" outlineLevel="0" collapsed="false">
      <c r="A38" s="6" t="s">
        <v>178</v>
      </c>
      <c r="B38" s="6" t="s">
        <v>125</v>
      </c>
      <c r="C38" s="6" t="s">
        <v>179</v>
      </c>
      <c r="D38" s="6" t="s">
        <v>105</v>
      </c>
      <c r="E38" s="6" t="n">
        <v>4</v>
      </c>
      <c r="F38" s="6" t="s">
        <v>22</v>
      </c>
      <c r="G38" s="6" t="s">
        <v>180</v>
      </c>
    </row>
    <row r="39" customFormat="false" ht="15" hidden="false" customHeight="false" outlineLevel="0" collapsed="false">
      <c r="A39" s="6" t="s">
        <v>120</v>
      </c>
      <c r="B39" s="6" t="s">
        <v>103</v>
      </c>
      <c r="C39" s="6" t="s">
        <v>121</v>
      </c>
      <c r="D39" s="6" t="s">
        <v>122</v>
      </c>
      <c r="E39" s="6" t="s">
        <v>35</v>
      </c>
      <c r="F39" s="6" t="s">
        <v>22</v>
      </c>
      <c r="G39" s="6" t="s">
        <v>123</v>
      </c>
    </row>
    <row r="40" customFormat="false" ht="15" hidden="false" customHeight="false" outlineLevel="0" collapsed="false">
      <c r="A40" s="6" t="s">
        <v>181</v>
      </c>
      <c r="B40" s="6" t="s">
        <v>174</v>
      </c>
      <c r="C40" s="6" t="s">
        <v>182</v>
      </c>
      <c r="D40" s="6" t="s">
        <v>183</v>
      </c>
      <c r="E40" s="6" t="s">
        <v>67</v>
      </c>
      <c r="F40" s="6" t="s">
        <v>113</v>
      </c>
      <c r="G40" s="6" t="s">
        <v>184</v>
      </c>
    </row>
    <row r="41" customFormat="false" ht="15" hidden="false" customHeight="false" outlineLevel="0" collapsed="false">
      <c r="A41" s="6" t="s">
        <v>185</v>
      </c>
      <c r="B41" s="6" t="s">
        <v>131</v>
      </c>
      <c r="C41" s="6" t="s">
        <v>186</v>
      </c>
      <c r="D41" s="6" t="s">
        <v>187</v>
      </c>
      <c r="E41" s="6" t="s">
        <v>58</v>
      </c>
      <c r="F41" s="6" t="s">
        <v>29</v>
      </c>
      <c r="G41" s="6" t="s">
        <v>188</v>
      </c>
    </row>
    <row r="42" customFormat="false" ht="15" hidden="false" customHeight="false" outlineLevel="0" collapsed="false">
      <c r="A42" s="6" t="s">
        <v>189</v>
      </c>
      <c r="B42" s="6" t="s">
        <v>55</v>
      </c>
      <c r="C42" s="6"/>
      <c r="D42" s="6" t="s">
        <v>190</v>
      </c>
      <c r="E42" s="6" t="s">
        <v>151</v>
      </c>
      <c r="F42" s="6" t="s">
        <v>89</v>
      </c>
      <c r="G42" s="6" t="s">
        <v>191</v>
      </c>
    </row>
    <row r="43" customFormat="false" ht="15" hidden="false" customHeight="false" outlineLevel="0" collapsed="false">
      <c r="A43" s="6" t="s">
        <v>192</v>
      </c>
      <c r="B43" s="6" t="s">
        <v>32</v>
      </c>
      <c r="C43" s="6"/>
      <c r="D43" s="6" t="s">
        <v>193</v>
      </c>
      <c r="E43" s="6" t="n">
        <v>8</v>
      </c>
      <c r="F43" s="6" t="s">
        <v>29</v>
      </c>
      <c r="G43" s="6" t="s">
        <v>194</v>
      </c>
    </row>
    <row r="44" customFormat="false" ht="15" hidden="false" customHeight="false" outlineLevel="0" collapsed="false">
      <c r="A44" s="6" t="s">
        <v>195</v>
      </c>
      <c r="B44" s="6" t="s">
        <v>109</v>
      </c>
      <c r="C44" s="6" t="s">
        <v>196</v>
      </c>
      <c r="D44" s="6" t="s">
        <v>127</v>
      </c>
      <c r="E44" s="6" t="s">
        <v>197</v>
      </c>
      <c r="F44" s="6" t="s">
        <v>59</v>
      </c>
      <c r="G44" s="6" t="s">
        <v>198</v>
      </c>
    </row>
    <row r="45" customFormat="false" ht="15" hidden="false" customHeight="false" outlineLevel="0" collapsed="false">
      <c r="A45" s="6" t="s">
        <v>199</v>
      </c>
      <c r="B45" s="6" t="s">
        <v>32</v>
      </c>
      <c r="C45" s="6" t="s">
        <v>140</v>
      </c>
      <c r="D45" s="6" t="s">
        <v>141</v>
      </c>
      <c r="E45" s="6" t="s">
        <v>142</v>
      </c>
      <c r="F45" s="6" t="s">
        <v>82</v>
      </c>
      <c r="G45" s="6" t="s">
        <v>143</v>
      </c>
    </row>
    <row r="46" customFormat="false" ht="15" hidden="false" customHeight="false" outlineLevel="0" collapsed="false">
      <c r="A46" s="6" t="s">
        <v>200</v>
      </c>
      <c r="B46" s="6" t="s">
        <v>45</v>
      </c>
      <c r="C46" s="6"/>
      <c r="D46" s="6" t="s">
        <v>201</v>
      </c>
      <c r="E46" s="6" t="n">
        <v>7</v>
      </c>
      <c r="F46" s="6" t="s">
        <v>113</v>
      </c>
      <c r="G46" s="6" t="s">
        <v>202</v>
      </c>
    </row>
    <row r="47" customFormat="false" ht="15" hidden="false" customHeight="false" outlineLevel="0" collapsed="false">
      <c r="A47" s="6" t="s">
        <v>203</v>
      </c>
      <c r="B47" s="6" t="s">
        <v>131</v>
      </c>
      <c r="C47" s="6" t="s">
        <v>204</v>
      </c>
      <c r="D47" s="6" t="s">
        <v>205</v>
      </c>
      <c r="E47" s="6" t="s">
        <v>42</v>
      </c>
      <c r="F47" s="6" t="s">
        <v>89</v>
      </c>
      <c r="G47" s="6" t="s">
        <v>206</v>
      </c>
    </row>
    <row r="48" customFormat="false" ht="15" hidden="false" customHeight="false" outlineLevel="0" collapsed="false">
      <c r="A48" s="6" t="s">
        <v>207</v>
      </c>
      <c r="B48" s="6"/>
      <c r="C48" s="6" t="s">
        <v>208</v>
      </c>
      <c r="D48" s="6" t="s">
        <v>209</v>
      </c>
      <c r="E48" s="6" t="s">
        <v>88</v>
      </c>
      <c r="F48" s="6" t="s">
        <v>89</v>
      </c>
      <c r="G48" s="6" t="s">
        <v>210</v>
      </c>
    </row>
    <row r="49" customFormat="false" ht="15" hidden="false" customHeight="false" outlineLevel="0" collapsed="false">
      <c r="A49" s="6" t="s">
        <v>211</v>
      </c>
      <c r="B49" s="6" t="s">
        <v>212</v>
      </c>
      <c r="C49" s="6" t="s">
        <v>213</v>
      </c>
      <c r="D49" s="6" t="s">
        <v>214</v>
      </c>
      <c r="E49" s="6" t="s">
        <v>215</v>
      </c>
      <c r="F49" s="6" t="s">
        <v>29</v>
      </c>
      <c r="G49" s="6" t="s">
        <v>216</v>
      </c>
    </row>
    <row r="50" customFormat="false" ht="15" hidden="false" customHeight="false" outlineLevel="0" collapsed="false">
      <c r="A50" s="6" t="s">
        <v>217</v>
      </c>
      <c r="B50" s="6" t="s">
        <v>45</v>
      </c>
      <c r="C50" s="6" t="s">
        <v>218</v>
      </c>
      <c r="D50" s="6" t="s">
        <v>219</v>
      </c>
      <c r="E50" s="6" t="s">
        <v>58</v>
      </c>
      <c r="F50" s="6" t="s">
        <v>113</v>
      </c>
      <c r="G50" s="6" t="s">
        <v>220</v>
      </c>
    </row>
    <row r="51" customFormat="false" ht="15" hidden="false" customHeight="false" outlineLevel="0" collapsed="false">
      <c r="A51" s="6" t="s">
        <v>221</v>
      </c>
      <c r="B51" s="6" t="s">
        <v>75</v>
      </c>
      <c r="C51" s="6"/>
      <c r="D51" s="6" t="s">
        <v>47</v>
      </c>
      <c r="E51" s="6" t="s">
        <v>35</v>
      </c>
      <c r="F51" s="6" t="s">
        <v>36</v>
      </c>
      <c r="G51" s="6" t="s">
        <v>222</v>
      </c>
    </row>
    <row r="52" customFormat="false" ht="15" hidden="false" customHeight="false" outlineLevel="0" collapsed="false">
      <c r="A52" s="6" t="s">
        <v>195</v>
      </c>
      <c r="B52" s="6" t="s">
        <v>109</v>
      </c>
      <c r="C52" s="6" t="s">
        <v>196</v>
      </c>
      <c r="D52" s="6" t="s">
        <v>127</v>
      </c>
      <c r="E52" s="6" t="s">
        <v>197</v>
      </c>
      <c r="F52" s="6" t="s">
        <v>59</v>
      </c>
      <c r="G52" s="6" t="s">
        <v>198</v>
      </c>
    </row>
    <row r="53" customFormat="false" ht="15" hidden="false" customHeight="false" outlineLevel="0" collapsed="false">
      <c r="A53" s="6" t="s">
        <v>223</v>
      </c>
      <c r="B53" s="6" t="s">
        <v>125</v>
      </c>
      <c r="C53" s="6"/>
      <c r="D53" s="6" t="s">
        <v>224</v>
      </c>
      <c r="E53" s="6" t="s">
        <v>215</v>
      </c>
      <c r="F53" s="6" t="s">
        <v>113</v>
      </c>
      <c r="G53" s="6" t="s">
        <v>225</v>
      </c>
    </row>
  </sheetData>
  <conditionalFormatting sqref="A2:G53">
    <cfRule type="expression" priority="2" aboveAverage="0" equalAverage="0" bottom="0" percent="0" rank="0" text="" dxfId="0">
      <formula>A2=""</formula>
    </cfRule>
  </conditionalFormatting>
  <conditionalFormatting sqref="A2:A53">
    <cfRule type="expression" priority="3" aboveAverage="0" equalAverage="0" bottom="0" percent="0" rank="0" text="" dxfId="1">
      <formula>COUNTIF($A$2:$A$53,A2)&gt;1</formula>
    </cfRule>
    <cfRule type="expression" priority="4" aboveAverage="0" equalAverage="0" bottom="0" percent="0" rank="0" text="" dxfId="1">
      <formula>OR(EXACT(A2,UPPER(A2)),EXACT(A2,LOWER(A2)),LEN(A2)&lt;&gt;LEN(TRIM(A2)))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34"/>
    <col collapsed="false" customWidth="true" hidden="false" outlineLevel="0" max="9" min="9" style="0" width="20"/>
  </cols>
  <sheetData>
    <row r="1" customFormat="false" ht="24" hidden="false" customHeight="true" outlineLevel="0" collapsed="false">
      <c r="A1" s="7" t="s">
        <v>226</v>
      </c>
      <c r="B1" s="7" t="s">
        <v>12</v>
      </c>
      <c r="C1" s="7" t="s">
        <v>13</v>
      </c>
      <c r="D1" s="7" t="s">
        <v>227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228</v>
      </c>
    </row>
    <row r="2" customFormat="false" ht="15" hidden="false" customHeight="false" outlineLevel="0" collapsed="false">
      <c r="A2" s="8" t="s">
        <v>229</v>
      </c>
      <c r="B2" s="6" t="s">
        <v>230</v>
      </c>
      <c r="C2" s="8" t="s">
        <v>25</v>
      </c>
      <c r="D2" s="8" t="s">
        <v>231</v>
      </c>
      <c r="E2" s="9" t="n">
        <v>46235</v>
      </c>
      <c r="F2" s="8" t="n">
        <v>3</v>
      </c>
      <c r="G2" s="8" t="s">
        <v>36</v>
      </c>
      <c r="H2" s="6" t="s">
        <v>43</v>
      </c>
      <c r="I2" s="6" t="str">
        <f aca="false">IF(COUNTBLANK(B2:H2)=0,"Complete","Missing: "&amp;IF(C2="","City ","")&amp;IF(D2="","Phone",""))</f>
        <v>Complete</v>
      </c>
    </row>
    <row r="3" customFormat="false" ht="15" hidden="false" customHeight="false" outlineLevel="0" collapsed="false">
      <c r="A3" s="8" t="s">
        <v>232</v>
      </c>
      <c r="B3" s="6" t="s">
        <v>163</v>
      </c>
      <c r="C3" s="8" t="s">
        <v>50</v>
      </c>
      <c r="D3" s="8" t="s">
        <v>164</v>
      </c>
      <c r="E3" s="9" t="n">
        <v>46236</v>
      </c>
      <c r="F3" s="8" t="n">
        <v>9</v>
      </c>
      <c r="G3" s="8" t="s">
        <v>113</v>
      </c>
      <c r="H3" s="6" t="s">
        <v>166</v>
      </c>
      <c r="I3" s="6" t="str">
        <f aca="false">IF(COUNTBLANK(B3:H3)=0,"Complete","Missing: "&amp;IF(C3="","City ","")&amp;IF(D3="","Phone",""))</f>
        <v>Complete</v>
      </c>
    </row>
    <row r="4" customFormat="false" ht="15" hidden="false" customHeight="false" outlineLevel="0" collapsed="false">
      <c r="A4" s="8" t="s">
        <v>233</v>
      </c>
      <c r="B4" s="6" t="s">
        <v>157</v>
      </c>
      <c r="C4" s="8" t="s">
        <v>25</v>
      </c>
      <c r="D4" s="8"/>
      <c r="E4" s="9" t="n">
        <v>46240</v>
      </c>
      <c r="F4" s="8" t="n">
        <v>8</v>
      </c>
      <c r="G4" s="8" t="s">
        <v>36</v>
      </c>
      <c r="H4" s="6" t="s">
        <v>138</v>
      </c>
      <c r="I4" s="6" t="str">
        <f aca="false">IF(COUNTBLANK(B4:H4)=0,"Complete","Missing: "&amp;IF(C4="","City ","")&amp;IF(D4="","Phone",""))</f>
        <v>Missing: Phone</v>
      </c>
    </row>
    <row r="5" customFormat="false" ht="15" hidden="false" customHeight="false" outlineLevel="0" collapsed="false">
      <c r="A5" s="8" t="s">
        <v>234</v>
      </c>
      <c r="B5" s="6" t="s">
        <v>235</v>
      </c>
      <c r="C5" s="8" t="s">
        <v>103</v>
      </c>
      <c r="D5" s="8" t="s">
        <v>236</v>
      </c>
      <c r="E5" s="9" t="n">
        <v>46241</v>
      </c>
      <c r="F5" s="8" t="n">
        <v>6</v>
      </c>
      <c r="G5" s="8" t="s">
        <v>22</v>
      </c>
      <c r="H5" s="6" t="s">
        <v>162</v>
      </c>
      <c r="I5" s="6" t="str">
        <f aca="false">IF(COUNTBLANK(B5:H5)=0,"Complete","Missing: "&amp;IF(C5="","City ","")&amp;IF(D5="","Phone",""))</f>
        <v>Complete</v>
      </c>
    </row>
    <row r="6" customFormat="false" ht="15" hidden="false" customHeight="false" outlineLevel="0" collapsed="false">
      <c r="A6" s="8" t="s">
        <v>237</v>
      </c>
      <c r="B6" s="6" t="s">
        <v>181</v>
      </c>
      <c r="C6" s="8" t="s">
        <v>85</v>
      </c>
      <c r="D6" s="8" t="s">
        <v>238</v>
      </c>
      <c r="E6" s="9" t="n">
        <v>46241</v>
      </c>
      <c r="F6" s="8" t="n">
        <v>8</v>
      </c>
      <c r="G6" s="8" t="s">
        <v>113</v>
      </c>
      <c r="H6" s="6" t="s">
        <v>184</v>
      </c>
      <c r="I6" s="6" t="str">
        <f aca="false">IF(COUNTBLANK(B6:H6)=0,"Complete","Missing: "&amp;IF(C6="","City ","")&amp;IF(D6="","Phone",""))</f>
        <v>Complete</v>
      </c>
    </row>
    <row r="7" customFormat="false" ht="15" hidden="false" customHeight="false" outlineLevel="0" collapsed="false">
      <c r="A7" s="8" t="s">
        <v>239</v>
      </c>
      <c r="B7" s="6" t="s">
        <v>130</v>
      </c>
      <c r="C7" s="8" t="s">
        <v>50</v>
      </c>
      <c r="D7" s="8" t="s">
        <v>132</v>
      </c>
      <c r="E7" s="9" t="n">
        <v>46242</v>
      </c>
      <c r="F7" s="8" t="n">
        <v>2</v>
      </c>
      <c r="G7" s="8" t="s">
        <v>22</v>
      </c>
      <c r="H7" s="6" t="s">
        <v>240</v>
      </c>
      <c r="I7" s="6" t="str">
        <f aca="false">IF(COUNTBLANK(B7:H7)=0,"Complete","Missing: "&amp;IF(C7="","City ","")&amp;IF(D7="","Phone",""))</f>
        <v>Complete</v>
      </c>
    </row>
    <row r="8" customFormat="false" ht="15" hidden="false" customHeight="false" outlineLevel="0" collapsed="false">
      <c r="A8" s="8" t="s">
        <v>241</v>
      </c>
      <c r="B8" s="6" t="s">
        <v>242</v>
      </c>
      <c r="C8" s="8" t="s">
        <v>25</v>
      </c>
      <c r="D8" s="8" t="s">
        <v>26</v>
      </c>
      <c r="E8" s="9" t="n">
        <v>46244</v>
      </c>
      <c r="F8" s="8" t="n">
        <v>6</v>
      </c>
      <c r="G8" s="8" t="s">
        <v>89</v>
      </c>
      <c r="H8" s="6" t="s">
        <v>30</v>
      </c>
      <c r="I8" s="6" t="str">
        <f aca="false">IF(COUNTBLANK(B8:H8)=0,"Complete","Missing: "&amp;IF(C8="","City ","")&amp;IF(D8="","Phone",""))</f>
        <v>Complete</v>
      </c>
    </row>
    <row r="9" customFormat="false" ht="15" hidden="false" customHeight="false" outlineLevel="0" collapsed="false">
      <c r="A9" s="8" t="s">
        <v>243</v>
      </c>
      <c r="B9" s="6" t="s">
        <v>244</v>
      </c>
      <c r="C9" s="8" t="s">
        <v>50</v>
      </c>
      <c r="D9" s="8" t="s">
        <v>245</v>
      </c>
      <c r="E9" s="9" t="n">
        <v>46244</v>
      </c>
      <c r="F9" s="8" t="n">
        <v>11</v>
      </c>
      <c r="G9" s="8" t="s">
        <v>22</v>
      </c>
      <c r="H9" s="6" t="s">
        <v>129</v>
      </c>
      <c r="I9" s="6" t="str">
        <f aca="false">IF(COUNTBLANK(B9:H9)=0,"Complete","Missing: "&amp;IF(C9="","City ","")&amp;IF(D9="","Phone",""))</f>
        <v>Complete</v>
      </c>
    </row>
    <row r="10" customFormat="false" ht="15" hidden="false" customHeight="false" outlineLevel="0" collapsed="false">
      <c r="A10" s="8" t="s">
        <v>246</v>
      </c>
      <c r="B10" s="6" t="s">
        <v>247</v>
      </c>
      <c r="C10" s="8" t="s">
        <v>85</v>
      </c>
      <c r="D10" s="8" t="s">
        <v>196</v>
      </c>
      <c r="E10" s="9" t="n">
        <v>46244</v>
      </c>
      <c r="F10" s="8" t="n">
        <v>10</v>
      </c>
      <c r="G10" s="8" t="s">
        <v>36</v>
      </c>
      <c r="H10" s="6" t="s">
        <v>198</v>
      </c>
      <c r="I10" s="6" t="str">
        <f aca="false">IF(COUNTBLANK(B10:H10)=0,"Complete","Missing: "&amp;IF(C10="","City ","")&amp;IF(D10="","Phone",""))</f>
        <v>Complete</v>
      </c>
    </row>
    <row r="11" customFormat="false" ht="15" hidden="false" customHeight="false" outlineLevel="0" collapsed="false">
      <c r="A11" s="8" t="s">
        <v>248</v>
      </c>
      <c r="B11" s="6" t="s">
        <v>199</v>
      </c>
      <c r="C11" s="8" t="s">
        <v>212</v>
      </c>
      <c r="D11" s="8" t="s">
        <v>249</v>
      </c>
      <c r="E11" s="9" t="n">
        <v>46247</v>
      </c>
      <c r="F11" s="8" t="n">
        <v>10</v>
      </c>
      <c r="G11" s="8" t="s">
        <v>22</v>
      </c>
      <c r="H11" s="6" t="s">
        <v>143</v>
      </c>
      <c r="I11" s="6" t="str">
        <f aca="false">IF(COUNTBLANK(B11:H11)=0,"Complete","Missing: "&amp;IF(C11="","City ","")&amp;IF(D11="","Phone",""))</f>
        <v>Complete</v>
      </c>
    </row>
    <row r="12" customFormat="false" ht="15" hidden="false" customHeight="false" outlineLevel="0" collapsed="false">
      <c r="A12" s="8" t="s">
        <v>250</v>
      </c>
      <c r="B12" s="6" t="s">
        <v>120</v>
      </c>
      <c r="C12" s="8" t="s">
        <v>103</v>
      </c>
      <c r="D12" s="8" t="s">
        <v>251</v>
      </c>
      <c r="E12" s="9" t="n">
        <v>46248</v>
      </c>
      <c r="F12" s="8" t="n">
        <v>9</v>
      </c>
      <c r="G12" s="8" t="s">
        <v>22</v>
      </c>
      <c r="H12" s="6" t="s">
        <v>252</v>
      </c>
      <c r="I12" s="6" t="str">
        <f aca="false">IF(COUNTBLANK(B12:H12)=0,"Complete","Missing: "&amp;IF(C12="","City ","")&amp;IF(D12="","Phone",""))</f>
        <v>Complete</v>
      </c>
    </row>
    <row r="13" customFormat="false" ht="15" hidden="false" customHeight="false" outlineLevel="0" collapsed="false">
      <c r="A13" s="8" t="s">
        <v>253</v>
      </c>
      <c r="B13" s="6" t="s">
        <v>19</v>
      </c>
      <c r="C13" s="8"/>
      <c r="D13" s="8"/>
      <c r="E13" s="9" t="n">
        <v>46250</v>
      </c>
      <c r="F13" s="8" t="n">
        <v>1</v>
      </c>
      <c r="G13" s="8" t="s">
        <v>22</v>
      </c>
      <c r="H13" s="6" t="s">
        <v>23</v>
      </c>
      <c r="I13" s="6" t="str">
        <f aca="false">IF(COUNTBLANK(B13:H13)=0,"Complete","Missing: "&amp;IF(C13="","City ","")&amp;IF(D13="","Phone",""))</f>
        <v>Missing: City Phone</v>
      </c>
    </row>
    <row r="14" customFormat="false" ht="15" hidden="false" customHeight="false" outlineLevel="0" collapsed="false">
      <c r="A14" s="8" t="s">
        <v>254</v>
      </c>
      <c r="B14" s="6" t="s">
        <v>255</v>
      </c>
      <c r="C14" s="8" t="s">
        <v>25</v>
      </c>
      <c r="D14" s="8" t="s">
        <v>256</v>
      </c>
      <c r="E14" s="9" t="n">
        <v>46253</v>
      </c>
      <c r="F14" s="8" t="n">
        <v>2</v>
      </c>
      <c r="G14" s="8" t="s">
        <v>36</v>
      </c>
      <c r="H14" s="6" t="s">
        <v>60</v>
      </c>
      <c r="I14" s="6" t="str">
        <f aca="false">IF(COUNTBLANK(B14:H14)=0,"Complete","Missing: "&amp;IF(C14="","City ","")&amp;IF(D14="","Phone",""))</f>
        <v>Complete</v>
      </c>
    </row>
    <row r="15" customFormat="false" ht="15" hidden="false" customHeight="false" outlineLevel="0" collapsed="false">
      <c r="A15" s="8" t="s">
        <v>257</v>
      </c>
      <c r="B15" s="6" t="s">
        <v>258</v>
      </c>
      <c r="C15" s="8" t="s">
        <v>50</v>
      </c>
      <c r="D15" s="8" t="s">
        <v>96</v>
      </c>
      <c r="E15" s="9" t="n">
        <v>46253</v>
      </c>
      <c r="F15" s="8" t="n">
        <v>9</v>
      </c>
      <c r="G15" s="8" t="s">
        <v>89</v>
      </c>
      <c r="H15" s="6" t="s">
        <v>259</v>
      </c>
      <c r="I15" s="6" t="str">
        <f aca="false">IF(COUNTBLANK(B15:H15)=0,"Complete","Missing: "&amp;IF(C15="","City ","")&amp;IF(D15="","Phone",""))</f>
        <v>Complete</v>
      </c>
    </row>
    <row r="16" customFormat="false" ht="15" hidden="false" customHeight="false" outlineLevel="0" collapsed="false">
      <c r="A16" s="8" t="s">
        <v>260</v>
      </c>
      <c r="B16" s="6" t="s">
        <v>261</v>
      </c>
      <c r="C16" s="8" t="s">
        <v>85</v>
      </c>
      <c r="D16" s="8" t="s">
        <v>262</v>
      </c>
      <c r="E16" s="9" t="n">
        <v>46253</v>
      </c>
      <c r="F16" s="8" t="n">
        <v>1</v>
      </c>
      <c r="G16" s="8" t="s">
        <v>89</v>
      </c>
      <c r="H16" s="6" t="s">
        <v>152</v>
      </c>
      <c r="I16" s="6" t="str">
        <f aca="false">IF(COUNTBLANK(B16:H16)=0,"Complete","Missing: "&amp;IF(C16="","City ","")&amp;IF(D16="","Phone",""))</f>
        <v>Complete</v>
      </c>
    </row>
    <row r="17" customFormat="false" ht="15" hidden="false" customHeight="false" outlineLevel="0" collapsed="false">
      <c r="A17" s="8" t="s">
        <v>263</v>
      </c>
      <c r="B17" s="6" t="s">
        <v>79</v>
      </c>
      <c r="C17" s="8" t="s">
        <v>25</v>
      </c>
      <c r="D17" s="8" t="s">
        <v>264</v>
      </c>
      <c r="E17" s="9" t="n">
        <v>46255</v>
      </c>
      <c r="F17" s="8" t="n">
        <v>8</v>
      </c>
      <c r="G17" s="8" t="s">
        <v>22</v>
      </c>
      <c r="H17" s="6" t="s">
        <v>83</v>
      </c>
      <c r="I17" s="6" t="str">
        <f aca="false">IF(COUNTBLANK(B17:H17)=0,"Complete","Missing: "&amp;IF(C17="","City ","")&amp;IF(D17="","Phone",""))</f>
        <v>Complete</v>
      </c>
    </row>
    <row r="18" customFormat="false" ht="15" hidden="false" customHeight="false" outlineLevel="0" collapsed="false">
      <c r="A18" s="8" t="s">
        <v>265</v>
      </c>
      <c r="B18" s="6" t="s">
        <v>266</v>
      </c>
      <c r="C18" s="8" t="s">
        <v>212</v>
      </c>
      <c r="D18" s="8" t="s">
        <v>146</v>
      </c>
      <c r="E18" s="9" t="n">
        <v>46256</v>
      </c>
      <c r="F18" s="8" t="n">
        <v>10</v>
      </c>
      <c r="G18" s="8" t="s">
        <v>89</v>
      </c>
      <c r="H18" s="6" t="s">
        <v>148</v>
      </c>
      <c r="I18" s="6" t="str">
        <f aca="false">IF(COUNTBLANK(B18:H18)=0,"Complete","Missing: "&amp;IF(C18="","City ","")&amp;IF(D18="","Phone",""))</f>
        <v>Complete</v>
      </c>
    </row>
    <row r="19" customFormat="false" ht="15" hidden="false" customHeight="false" outlineLevel="0" collapsed="false">
      <c r="A19" s="8" t="s">
        <v>267</v>
      </c>
      <c r="B19" s="6" t="s">
        <v>268</v>
      </c>
      <c r="C19" s="8" t="s">
        <v>85</v>
      </c>
      <c r="D19" s="8"/>
      <c r="E19" s="9" t="n">
        <v>46257</v>
      </c>
      <c r="F19" s="8" t="n">
        <v>8</v>
      </c>
      <c r="G19" s="8" t="s">
        <v>36</v>
      </c>
      <c r="H19" s="6" t="s">
        <v>169</v>
      </c>
      <c r="I19" s="6" t="str">
        <f aca="false">IF(COUNTBLANK(B19:H19)=0,"Complete","Missing: "&amp;IF(C19="","City ","")&amp;IF(D19="","Phone",""))</f>
        <v>Missing: Phone</v>
      </c>
    </row>
    <row r="20" customFormat="false" ht="15" hidden="false" customHeight="false" outlineLevel="0" collapsed="false">
      <c r="A20" s="8" t="s">
        <v>269</v>
      </c>
      <c r="B20" s="6" t="s">
        <v>270</v>
      </c>
      <c r="C20" s="8" t="s">
        <v>103</v>
      </c>
      <c r="D20" s="8" t="s">
        <v>218</v>
      </c>
      <c r="E20" s="9" t="n">
        <v>46257</v>
      </c>
      <c r="F20" s="8" t="n">
        <v>2</v>
      </c>
      <c r="G20" s="8" t="s">
        <v>113</v>
      </c>
      <c r="H20" s="6" t="s">
        <v>220</v>
      </c>
      <c r="I20" s="6" t="str">
        <f aca="false">IF(COUNTBLANK(B20:H20)=0,"Complete","Missing: "&amp;IF(C20="","City ","")&amp;IF(D20="","Phone",""))</f>
        <v>Complete</v>
      </c>
    </row>
    <row r="21" customFormat="false" ht="15" hidden="false" customHeight="false" outlineLevel="0" collapsed="false">
      <c r="A21" s="8" t="s">
        <v>271</v>
      </c>
      <c r="B21" s="6" t="s">
        <v>99</v>
      </c>
      <c r="C21" s="8" t="s">
        <v>25</v>
      </c>
      <c r="D21" s="8"/>
      <c r="E21" s="9" t="n">
        <v>46260</v>
      </c>
      <c r="F21" s="8" t="n">
        <v>2</v>
      </c>
      <c r="G21" s="8" t="s">
        <v>36</v>
      </c>
      <c r="H21" s="6" t="s">
        <v>101</v>
      </c>
      <c r="I21" s="6" t="str">
        <f aca="false">IF(COUNTBLANK(B21:H21)=0,"Complete","Missing: "&amp;IF(C21="","City ","")&amp;IF(D21="","Phone",""))</f>
        <v>Missing: Phone</v>
      </c>
    </row>
    <row r="22" customFormat="false" ht="15" hidden="false" customHeight="false" outlineLevel="0" collapsed="false">
      <c r="A22" s="8" t="s">
        <v>272</v>
      </c>
      <c r="B22" s="6" t="s">
        <v>273</v>
      </c>
      <c r="C22" s="8" t="s">
        <v>50</v>
      </c>
      <c r="D22" s="8" t="s">
        <v>274</v>
      </c>
      <c r="E22" s="9" t="n">
        <v>46260</v>
      </c>
      <c r="F22" s="8" t="n">
        <v>3</v>
      </c>
      <c r="G22" s="8" t="s">
        <v>89</v>
      </c>
      <c r="H22" s="6" t="s">
        <v>206</v>
      </c>
      <c r="I22" s="6" t="str">
        <f aca="false">IF(COUNTBLANK(B22:H22)=0,"Complete","Missing: "&amp;IF(C22="","City ","")&amp;IF(D22="","Phone",""))</f>
        <v>Complete</v>
      </c>
    </row>
    <row r="23" customFormat="false" ht="15" hidden="false" customHeight="false" outlineLevel="0" collapsed="false">
      <c r="A23" s="8" t="s">
        <v>275</v>
      </c>
      <c r="B23" s="6" t="s">
        <v>276</v>
      </c>
      <c r="C23" s="8" t="s">
        <v>212</v>
      </c>
      <c r="D23" s="8"/>
      <c r="E23" s="9" t="n">
        <v>46262</v>
      </c>
      <c r="F23" s="8" t="n">
        <v>8</v>
      </c>
      <c r="G23" s="8" t="s">
        <v>89</v>
      </c>
      <c r="H23" s="6" t="s">
        <v>194</v>
      </c>
      <c r="I23" s="6" t="str">
        <f aca="false">IF(COUNTBLANK(B23:H23)=0,"Complete","Missing: "&amp;IF(C23="","City ","")&amp;IF(D23="","Phone",""))</f>
        <v>Missing: Phone</v>
      </c>
    </row>
    <row r="24" customFormat="false" ht="15" hidden="false" customHeight="false" outlineLevel="0" collapsed="false">
      <c r="A24" s="8" t="s">
        <v>277</v>
      </c>
      <c r="B24" s="6" t="s">
        <v>278</v>
      </c>
      <c r="C24" s="8" t="s">
        <v>50</v>
      </c>
      <c r="D24" s="8" t="s">
        <v>279</v>
      </c>
      <c r="E24" s="9" t="n">
        <v>46263</v>
      </c>
      <c r="F24" s="8" t="n">
        <v>4</v>
      </c>
      <c r="G24" s="8" t="s">
        <v>22</v>
      </c>
      <c r="H24" s="6" t="s">
        <v>119</v>
      </c>
      <c r="I24" s="6" t="str">
        <f aca="false">IF(COUNTBLANK(B24:H24)=0,"Complete","Missing: "&amp;IF(C24="","City ","")&amp;IF(D24="","Phone",""))</f>
        <v>Complete</v>
      </c>
    </row>
    <row r="25" customFormat="false" ht="15" hidden="false" customHeight="false" outlineLevel="0" collapsed="false">
      <c r="A25" s="8" t="s">
        <v>280</v>
      </c>
      <c r="B25" s="6" t="s">
        <v>211</v>
      </c>
      <c r="C25" s="8" t="s">
        <v>212</v>
      </c>
      <c r="D25" s="8" t="s">
        <v>281</v>
      </c>
      <c r="E25" s="9" t="n">
        <v>46264</v>
      </c>
      <c r="F25" s="8" t="n">
        <v>7</v>
      </c>
      <c r="G25" s="8" t="s">
        <v>89</v>
      </c>
      <c r="H25" s="6" t="s">
        <v>216</v>
      </c>
      <c r="I25" s="6" t="str">
        <f aca="false">IF(COUNTBLANK(B25:H25)=0,"Complete","Missing: "&amp;IF(C25="","City ","")&amp;IF(D25="","Phone",""))</f>
        <v>Complete</v>
      </c>
    </row>
    <row r="26" customFormat="false" ht="15" hidden="false" customHeight="false" outlineLevel="0" collapsed="false">
      <c r="A26" s="8" t="s">
        <v>282</v>
      </c>
      <c r="B26" s="6" t="s">
        <v>283</v>
      </c>
      <c r="C26" s="8" t="s">
        <v>25</v>
      </c>
      <c r="D26" s="8" t="s">
        <v>76</v>
      </c>
      <c r="E26" s="9" t="n">
        <v>46269</v>
      </c>
      <c r="F26" s="8" t="n">
        <v>1</v>
      </c>
      <c r="G26" s="8" t="s">
        <v>22</v>
      </c>
      <c r="H26" s="6" t="s">
        <v>78</v>
      </c>
      <c r="I26" s="6" t="str">
        <f aca="false">IF(COUNTBLANK(B26:H26)=0,"Complete","Missing: "&amp;IF(C26="","City ","")&amp;IF(D26="","Phone",""))</f>
        <v>Complete</v>
      </c>
    </row>
    <row r="27" customFormat="false" ht="15" hidden="false" customHeight="false" outlineLevel="0" collapsed="false">
      <c r="A27" s="8" t="s">
        <v>284</v>
      </c>
      <c r="B27" s="6" t="s">
        <v>285</v>
      </c>
      <c r="C27" s="8" t="s">
        <v>25</v>
      </c>
      <c r="D27" s="8"/>
      <c r="E27" s="9" t="n">
        <v>46269</v>
      </c>
      <c r="F27" s="8" t="n">
        <v>1</v>
      </c>
      <c r="G27" s="8" t="s">
        <v>89</v>
      </c>
      <c r="H27" s="6" t="s">
        <v>191</v>
      </c>
      <c r="I27" s="6" t="str">
        <f aca="false">IF(COUNTBLANK(B27:H27)=0,"Complete","Missing: "&amp;IF(C27="","City ","")&amp;IF(D27="","Phone",""))</f>
        <v>Missing: Phone</v>
      </c>
    </row>
    <row r="28" customFormat="false" ht="15" hidden="false" customHeight="false" outlineLevel="0" collapsed="false">
      <c r="A28" s="8" t="s">
        <v>286</v>
      </c>
      <c r="B28" s="6" t="s">
        <v>287</v>
      </c>
      <c r="C28" s="8" t="s">
        <v>103</v>
      </c>
      <c r="D28" s="8" t="s">
        <v>288</v>
      </c>
      <c r="E28" s="9" t="n">
        <v>46271</v>
      </c>
      <c r="F28" s="8" t="n">
        <v>8</v>
      </c>
      <c r="G28" s="8" t="s">
        <v>89</v>
      </c>
      <c r="H28" s="6" t="s">
        <v>289</v>
      </c>
      <c r="I28" s="6" t="str">
        <f aca="false">IF(COUNTBLANK(B28:H28)=0,"Complete","Missing: "&amp;IF(C28="","City ","")&amp;IF(D28="","Phone",""))</f>
        <v>Complete</v>
      </c>
    </row>
    <row r="29" customFormat="false" ht="15" hidden="false" customHeight="false" outlineLevel="0" collapsed="false">
      <c r="A29" s="8" t="s">
        <v>290</v>
      </c>
      <c r="B29" s="6" t="s">
        <v>291</v>
      </c>
      <c r="C29" s="8" t="s">
        <v>50</v>
      </c>
      <c r="D29" s="8" t="s">
        <v>292</v>
      </c>
      <c r="E29" s="9" t="n">
        <v>46271</v>
      </c>
      <c r="F29" s="8" t="n">
        <v>4</v>
      </c>
      <c r="G29" s="8" t="s">
        <v>22</v>
      </c>
      <c r="H29" s="6" t="s">
        <v>180</v>
      </c>
      <c r="I29" s="6" t="str">
        <f aca="false">IF(COUNTBLANK(B29:H29)=0,"Complete","Missing: "&amp;IF(C29="","City ","")&amp;IF(D29="","Phone",""))</f>
        <v>Complete</v>
      </c>
    </row>
    <row r="30" customFormat="false" ht="15" hidden="false" customHeight="false" outlineLevel="0" collapsed="false">
      <c r="A30" s="8" t="s">
        <v>293</v>
      </c>
      <c r="B30" s="6" t="s">
        <v>156</v>
      </c>
      <c r="C30" s="8" t="s">
        <v>85</v>
      </c>
      <c r="D30" s="8" t="s">
        <v>294</v>
      </c>
      <c r="E30" s="9" t="n">
        <v>46272</v>
      </c>
      <c r="F30" s="8" t="n">
        <v>4</v>
      </c>
      <c r="G30" s="8" t="s">
        <v>113</v>
      </c>
      <c r="H30" s="6" t="s">
        <v>114</v>
      </c>
      <c r="I30" s="6" t="str">
        <f aca="false">IF(COUNTBLANK(B30:H30)=0,"Complete","Missing: "&amp;IF(C30="","City ","")&amp;IF(D30="","Phone",""))</f>
        <v>Complete</v>
      </c>
    </row>
    <row r="31" customFormat="false" ht="15" hidden="false" customHeight="false" outlineLevel="0" collapsed="false">
      <c r="A31" s="8" t="s">
        <v>295</v>
      </c>
      <c r="B31" s="6" t="s">
        <v>296</v>
      </c>
      <c r="C31" s="8" t="s">
        <v>50</v>
      </c>
      <c r="D31" s="8"/>
      <c r="E31" s="9" t="n">
        <v>46274</v>
      </c>
      <c r="F31" s="8" t="n">
        <v>4</v>
      </c>
      <c r="G31" s="8" t="s">
        <v>36</v>
      </c>
      <c r="H31" s="6" t="s">
        <v>52</v>
      </c>
      <c r="I31" s="6" t="str">
        <f aca="false">IF(COUNTBLANK(B31:H31)=0,"Complete","Missing: "&amp;IF(C31="","City ","")&amp;IF(D31="","Phone",""))</f>
        <v>Missing: Phone</v>
      </c>
    </row>
    <row r="32" customFormat="false" ht="15" hidden="false" customHeight="false" outlineLevel="0" collapsed="false">
      <c r="A32" s="8" t="s">
        <v>297</v>
      </c>
      <c r="B32" s="6" t="s">
        <v>298</v>
      </c>
      <c r="C32" s="8" t="s">
        <v>103</v>
      </c>
      <c r="D32" s="8"/>
      <c r="E32" s="9" t="n">
        <v>46274</v>
      </c>
      <c r="F32" s="8" t="n">
        <v>7</v>
      </c>
      <c r="G32" s="8" t="s">
        <v>113</v>
      </c>
      <c r="H32" s="6" t="s">
        <v>202</v>
      </c>
      <c r="I32" s="6" t="str">
        <f aca="false">IF(COUNTBLANK(B32:H32)=0,"Complete","Missing: "&amp;IF(C32="","City ","")&amp;IF(D32="","Phone",""))</f>
        <v>Missing: Phone</v>
      </c>
    </row>
    <row r="33" customFormat="false" ht="15" hidden="false" customHeight="false" outlineLevel="0" collapsed="false">
      <c r="A33" s="8" t="s">
        <v>299</v>
      </c>
      <c r="B33" s="6" t="s">
        <v>300</v>
      </c>
      <c r="C33" s="8" t="s">
        <v>103</v>
      </c>
      <c r="D33" s="8"/>
      <c r="E33" s="9" t="n">
        <v>46275</v>
      </c>
      <c r="F33" s="8" t="n">
        <v>2</v>
      </c>
      <c r="G33" s="8" t="s">
        <v>113</v>
      </c>
      <c r="H33" s="6" t="s">
        <v>155</v>
      </c>
      <c r="I33" s="6" t="str">
        <f aca="false">IF(COUNTBLANK(B33:H33)=0,"Complete","Missing: "&amp;IF(C33="","City ","")&amp;IF(D33="","Phone",""))</f>
        <v>Missing: Phone</v>
      </c>
    </row>
    <row r="34" customFormat="false" ht="15" hidden="false" customHeight="false" outlineLevel="0" collapsed="false">
      <c r="A34" s="8" t="s">
        <v>301</v>
      </c>
      <c r="B34" s="6" t="s">
        <v>61</v>
      </c>
      <c r="C34" s="8" t="s">
        <v>85</v>
      </c>
      <c r="D34" s="8"/>
      <c r="E34" s="9" t="n">
        <v>46276</v>
      </c>
      <c r="F34" s="8" t="n">
        <v>9</v>
      </c>
      <c r="G34" s="8" t="s">
        <v>36</v>
      </c>
      <c r="H34" s="6" t="s">
        <v>64</v>
      </c>
      <c r="I34" s="6" t="str">
        <f aca="false">IF(COUNTBLANK(B34:H34)=0,"Complete","Missing: "&amp;IF(C34="","City ","")&amp;IF(D34="","Phone",""))</f>
        <v>Missing: Phone</v>
      </c>
    </row>
    <row r="35" customFormat="false" ht="15" hidden="false" customHeight="false" outlineLevel="0" collapsed="false">
      <c r="A35" s="8" t="s">
        <v>302</v>
      </c>
      <c r="B35" s="6" t="s">
        <v>69</v>
      </c>
      <c r="C35" s="8"/>
      <c r="D35" s="8" t="s">
        <v>303</v>
      </c>
      <c r="E35" s="9" t="n">
        <v>46281</v>
      </c>
      <c r="F35" s="8" t="n">
        <v>1</v>
      </c>
      <c r="G35" s="8" t="s">
        <v>113</v>
      </c>
      <c r="H35" s="6" t="s">
        <v>73</v>
      </c>
      <c r="I35" s="6" t="str">
        <f aca="false">IF(COUNTBLANK(B35:H35)=0,"Complete","Missing: "&amp;IF(C35="","City ","")&amp;IF(D35="","Phone",""))</f>
        <v>Missing: City </v>
      </c>
    </row>
    <row r="36" customFormat="false" ht="15" hidden="false" customHeight="false" outlineLevel="0" collapsed="false">
      <c r="A36" s="8" t="s">
        <v>304</v>
      </c>
      <c r="B36" s="6" t="s">
        <v>84</v>
      </c>
      <c r="C36" s="8" t="s">
        <v>85</v>
      </c>
      <c r="D36" s="8" t="s">
        <v>305</v>
      </c>
      <c r="E36" s="9" t="n">
        <v>46283</v>
      </c>
      <c r="F36" s="8" t="n">
        <v>9</v>
      </c>
      <c r="G36" s="8" t="s">
        <v>89</v>
      </c>
      <c r="H36" s="6" t="s">
        <v>306</v>
      </c>
      <c r="I36" s="6" t="str">
        <f aca="false">IF(COUNTBLANK(B36:H36)=0,"Complete","Missing: "&amp;IF(C36="","City ","")&amp;IF(D36="","Phone",""))</f>
        <v>Complete</v>
      </c>
    </row>
    <row r="37" customFormat="false" ht="15" hidden="false" customHeight="false" outlineLevel="0" collapsed="false">
      <c r="A37" s="8" t="s">
        <v>307</v>
      </c>
      <c r="B37" s="6" t="s">
        <v>44</v>
      </c>
      <c r="C37" s="8" t="s">
        <v>103</v>
      </c>
      <c r="D37" s="8" t="s">
        <v>46</v>
      </c>
      <c r="E37" s="9" t="n">
        <v>46284</v>
      </c>
      <c r="F37" s="8" t="n">
        <v>8</v>
      </c>
      <c r="G37" s="8" t="s">
        <v>22</v>
      </c>
      <c r="H37" s="6" t="s">
        <v>48</v>
      </c>
      <c r="I37" s="6" t="str">
        <f aca="false">IF(COUNTBLANK(B37:H37)=0,"Complete","Missing: "&amp;IF(C37="","City ","")&amp;IF(D37="","Phone",""))</f>
        <v>Complete</v>
      </c>
    </row>
    <row r="38" customFormat="false" ht="15" hidden="false" customHeight="false" outlineLevel="0" collapsed="false">
      <c r="A38" s="8" t="s">
        <v>308</v>
      </c>
      <c r="B38" s="6" t="s">
        <v>309</v>
      </c>
      <c r="C38" s="8" t="s">
        <v>25</v>
      </c>
      <c r="D38" s="8"/>
      <c r="E38" s="9" t="n">
        <v>46284</v>
      </c>
      <c r="F38" s="8" t="n">
        <v>9</v>
      </c>
      <c r="G38" s="8" t="s">
        <v>36</v>
      </c>
      <c r="H38" s="6" t="s">
        <v>222</v>
      </c>
      <c r="I38" s="6" t="str">
        <f aca="false">IF(COUNTBLANK(B38:H38)=0,"Complete","Missing: "&amp;IF(C38="","City ","")&amp;IF(D38="","Phone",""))</f>
        <v>Missing: Phone</v>
      </c>
    </row>
    <row r="39" customFormat="false" ht="15" hidden="false" customHeight="false" outlineLevel="0" collapsed="false">
      <c r="A39" s="8" t="s">
        <v>310</v>
      </c>
      <c r="B39" s="6" t="s">
        <v>311</v>
      </c>
      <c r="C39" s="8" t="s">
        <v>25</v>
      </c>
      <c r="D39" s="8" t="s">
        <v>312</v>
      </c>
      <c r="E39" s="9" t="n">
        <v>46286</v>
      </c>
      <c r="F39" s="8" t="n">
        <v>8</v>
      </c>
      <c r="G39" s="8" t="s">
        <v>36</v>
      </c>
      <c r="H39" s="6" t="s">
        <v>94</v>
      </c>
      <c r="I39" s="6" t="str">
        <f aca="false">IF(COUNTBLANK(B39:H39)=0,"Complete","Missing: "&amp;IF(C39="","City ","")&amp;IF(D39="","Phone",""))</f>
        <v>Complete</v>
      </c>
    </row>
    <row r="40" customFormat="false" ht="15" hidden="false" customHeight="false" outlineLevel="0" collapsed="false">
      <c r="A40" s="8" t="s">
        <v>313</v>
      </c>
      <c r="B40" s="6" t="s">
        <v>223</v>
      </c>
      <c r="C40" s="8" t="s">
        <v>50</v>
      </c>
      <c r="D40" s="8"/>
      <c r="E40" s="9" t="n">
        <v>46286</v>
      </c>
      <c r="F40" s="8" t="n">
        <v>7</v>
      </c>
      <c r="G40" s="8" t="s">
        <v>113</v>
      </c>
      <c r="H40" s="6" t="s">
        <v>225</v>
      </c>
      <c r="I40" s="6" t="str">
        <f aca="false">IF(COUNTBLANK(B40:H40)=0,"Complete","Missing: "&amp;IF(C40="","City ","")&amp;IF(D40="","Phone",""))</f>
        <v>Missing: Phone</v>
      </c>
    </row>
    <row r="41" customFormat="false" ht="15" hidden="false" customHeight="false" outlineLevel="0" collapsed="false">
      <c r="A41" s="8" t="s">
        <v>314</v>
      </c>
      <c r="B41" s="6" t="s">
        <v>173</v>
      </c>
      <c r="C41" s="8" t="s">
        <v>85</v>
      </c>
      <c r="D41" s="8" t="s">
        <v>175</v>
      </c>
      <c r="E41" s="9" t="n">
        <v>46287</v>
      </c>
      <c r="F41" s="8" t="n">
        <v>4</v>
      </c>
      <c r="G41" s="8" t="s">
        <v>36</v>
      </c>
      <c r="H41" s="6" t="s">
        <v>177</v>
      </c>
      <c r="I41" s="6" t="str">
        <f aca="false">IF(COUNTBLANK(B41:H41)=0,"Complete","Missing: "&amp;IF(C41="","City ","")&amp;IF(D41="","Phone",""))</f>
        <v>Complete</v>
      </c>
    </row>
    <row r="42" customFormat="false" ht="15" hidden="false" customHeight="false" outlineLevel="0" collapsed="false">
      <c r="A42" s="8" t="s">
        <v>315</v>
      </c>
      <c r="B42" s="6" t="s">
        <v>316</v>
      </c>
      <c r="C42" s="8" t="s">
        <v>212</v>
      </c>
      <c r="D42" s="8"/>
      <c r="E42" s="9" t="n">
        <v>46289</v>
      </c>
      <c r="F42" s="8" t="n">
        <v>8</v>
      </c>
      <c r="G42" s="8" t="s">
        <v>36</v>
      </c>
      <c r="H42" s="6" t="s">
        <v>317</v>
      </c>
      <c r="I42" s="6" t="str">
        <f aca="false">IF(COUNTBLANK(B42:H42)=0,"Complete","Missing: "&amp;IF(C42="","City ","")&amp;IF(D42="","Phone",""))</f>
        <v>Missing: Phone</v>
      </c>
    </row>
    <row r="43" customFormat="false" ht="15" hidden="false" customHeight="false" outlineLevel="0" collapsed="false">
      <c r="A43" s="8" t="s">
        <v>318</v>
      </c>
      <c r="B43" s="6" t="s">
        <v>319</v>
      </c>
      <c r="C43" s="8" t="s">
        <v>212</v>
      </c>
      <c r="D43" s="8" t="s">
        <v>320</v>
      </c>
      <c r="E43" s="9" t="n">
        <v>46291</v>
      </c>
      <c r="F43" s="8" t="n">
        <v>9</v>
      </c>
      <c r="G43" s="8" t="s">
        <v>36</v>
      </c>
      <c r="H43" s="6" t="s">
        <v>321</v>
      </c>
      <c r="I43" s="6" t="str">
        <f aca="false">IF(COUNTBLANK(B43:H43)=0,"Complete","Missing: "&amp;IF(C43="","City ","")&amp;IF(D43="","Phone",""))</f>
        <v>Complete</v>
      </c>
    </row>
    <row r="44" customFormat="false" ht="15" hidden="false" customHeight="false" outlineLevel="0" collapsed="false">
      <c r="A44" s="8" t="s">
        <v>322</v>
      </c>
      <c r="B44" s="6" t="s">
        <v>323</v>
      </c>
      <c r="C44" s="8"/>
      <c r="D44" s="8" t="s">
        <v>324</v>
      </c>
      <c r="E44" s="9" t="n">
        <v>46292</v>
      </c>
      <c r="F44" s="8" t="n">
        <v>9</v>
      </c>
      <c r="G44" s="8" t="s">
        <v>89</v>
      </c>
      <c r="H44" s="6" t="s">
        <v>325</v>
      </c>
      <c r="I44" s="6" t="str">
        <f aca="false">IF(COUNTBLANK(B44:H44)=0,"Complete","Missing: "&amp;IF(C44="","City ","")&amp;IF(D44="","Phone",""))</f>
        <v>Missing: City </v>
      </c>
    </row>
    <row r="45" customFormat="false" ht="15" hidden="false" customHeight="false" outlineLevel="0" collapsed="false">
      <c r="A45" s="8" t="s">
        <v>326</v>
      </c>
      <c r="B45" s="6" t="s">
        <v>185</v>
      </c>
      <c r="C45" s="8" t="s">
        <v>50</v>
      </c>
      <c r="D45" s="8" t="s">
        <v>327</v>
      </c>
      <c r="E45" s="9" t="n">
        <v>46293</v>
      </c>
      <c r="F45" s="8" t="n">
        <v>2</v>
      </c>
      <c r="G45" s="8" t="s">
        <v>89</v>
      </c>
      <c r="H45" s="6" t="s">
        <v>188</v>
      </c>
      <c r="I45" s="6" t="str">
        <f aca="false">IF(COUNTBLANK(B45:H45)=0,"Complete","Missing: "&amp;IF(C45="","City ","")&amp;IF(D45="","Phone",""))</f>
        <v>Complete</v>
      </c>
    </row>
    <row r="46" customFormat="false" ht="15" hidden="false" customHeight="false" outlineLevel="0" collapsed="false">
      <c r="A46" s="8" t="s">
        <v>328</v>
      </c>
      <c r="B46" s="6" t="s">
        <v>170</v>
      </c>
      <c r="C46" s="8" t="s">
        <v>50</v>
      </c>
      <c r="D46" s="8"/>
      <c r="E46" s="9" t="n">
        <v>46295</v>
      </c>
      <c r="F46" s="8" t="n">
        <v>1</v>
      </c>
      <c r="G46" s="8" t="s">
        <v>36</v>
      </c>
      <c r="H46" s="6" t="s">
        <v>172</v>
      </c>
      <c r="I46" s="6" t="str">
        <f aca="false">IF(COUNTBLANK(B46:H46)=0,"Complete","Missing: "&amp;IF(C46="","City ","")&amp;IF(D46="","Phone",""))</f>
        <v>Missing: Phone</v>
      </c>
    </row>
  </sheetData>
  <conditionalFormatting sqref="I2:I46">
    <cfRule type="cellIs" priority="2" operator="equal" aboveAverage="0" equalAverage="0" bottom="0" percent="0" rank="0" text="" dxfId="8">
      <formula>"Complete"</formula>
    </cfRule>
    <cfRule type="expression" priority="3" aboveAverage="0" equalAverage="0" bottom="0" percent="0" rank="0" text="" dxfId="9">
      <formula>LEFT(I2,7)="Missing"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62"/>
  </cols>
  <sheetData>
    <row r="2" customFormat="false" ht="17.35" hidden="false" customHeight="false" outlineLevel="0" collapsed="false">
      <c r="B2" s="10" t="s">
        <v>329</v>
      </c>
    </row>
    <row r="4" customFormat="false" ht="15" hidden="false" customHeight="false" outlineLevel="0" collapsed="false">
      <c r="B4" s="11" t="s">
        <v>330</v>
      </c>
      <c r="C4" s="11" t="s">
        <v>331</v>
      </c>
      <c r="D4" s="11" t="s">
        <v>332</v>
      </c>
    </row>
    <row r="5" customFormat="false" ht="30" hidden="false" customHeight="true" outlineLevel="0" collapsed="false">
      <c r="B5" s="12" t="s">
        <v>333</v>
      </c>
      <c r="C5" s="13" t="n">
        <f aca="false">COUNTA('1. Before (Raw)'!A2:A53)</f>
        <v>52</v>
      </c>
      <c r="D5" s="14" t="s">
        <v>334</v>
      </c>
    </row>
    <row r="6" customFormat="false" ht="30" hidden="false" customHeight="true" outlineLevel="0" collapsed="false">
      <c r="B6" s="15" t="s">
        <v>335</v>
      </c>
      <c r="C6" s="16" t="n">
        <f aca="false">COUNTA('1. Before (Raw)'!A2:A53)-COUNTA('2. After (Clean)'!A2:A46)</f>
        <v>7</v>
      </c>
      <c r="D6" s="17" t="s">
        <v>336</v>
      </c>
    </row>
    <row r="7" customFormat="false" ht="30" hidden="false" customHeight="true" outlineLevel="0" collapsed="false">
      <c r="B7" s="12" t="s">
        <v>337</v>
      </c>
      <c r="C7" s="13" t="n">
        <f aca="false">COUNTA('2. After (Clean)'!A2:A46)</f>
        <v>45</v>
      </c>
      <c r="D7" s="14" t="s">
        <v>338</v>
      </c>
    </row>
    <row r="8" customFormat="false" ht="30" hidden="false" customHeight="true" outlineLevel="0" collapsed="false">
      <c r="B8" s="15" t="s">
        <v>339</v>
      </c>
      <c r="C8" s="16" t="n">
        <f aca="false">COUNTA('2. After (Clean)'!B2:B46)</f>
        <v>45</v>
      </c>
      <c r="D8" s="17" t="s">
        <v>340</v>
      </c>
    </row>
    <row r="9" customFormat="false" ht="30" hidden="false" customHeight="true" outlineLevel="0" collapsed="false">
      <c r="B9" s="12" t="s">
        <v>341</v>
      </c>
      <c r="C9" s="13" t="n">
        <f aca="false">COUNTA('2. After (Clean)'!C2:C46)</f>
        <v>42</v>
      </c>
      <c r="D9" s="14" t="s">
        <v>342</v>
      </c>
    </row>
    <row r="10" customFormat="false" ht="30" hidden="false" customHeight="true" outlineLevel="0" collapsed="false">
      <c r="B10" s="15" t="s">
        <v>343</v>
      </c>
      <c r="C10" s="16" t="n">
        <f aca="false">COUNTA('2. After (Clean)'!D2:D46)</f>
        <v>31</v>
      </c>
      <c r="D10" s="17" t="s">
        <v>344</v>
      </c>
    </row>
    <row r="11" customFormat="false" ht="30" hidden="false" customHeight="true" outlineLevel="0" collapsed="false">
      <c r="B11" s="12" t="s">
        <v>345</v>
      </c>
      <c r="C11" s="13" t="n">
        <f aca="false">COUNT('2. After (Clean)'!E2:E46)</f>
        <v>45</v>
      </c>
      <c r="D11" s="14" t="s">
        <v>346</v>
      </c>
    </row>
    <row r="12" customFormat="false" ht="30" hidden="false" customHeight="true" outlineLevel="0" collapsed="false">
      <c r="B12" s="15" t="s">
        <v>347</v>
      </c>
      <c r="C12" s="16" t="n">
        <f aca="false">COUNT('2. After (Clean)'!F2:F46)</f>
        <v>45</v>
      </c>
      <c r="D12" s="17" t="s">
        <v>348</v>
      </c>
    </row>
    <row r="13" customFormat="false" ht="30" hidden="false" customHeight="true" outlineLevel="0" collapsed="false">
      <c r="B13" s="12" t="s">
        <v>349</v>
      </c>
      <c r="C13" s="13" t="n">
        <f aca="false">COUNTIF('2. After (Clean)'!I2:I46,"Missing*")</f>
        <v>16</v>
      </c>
      <c r="D13" s="14" t="s">
        <v>350</v>
      </c>
    </row>
    <row r="14" customFormat="false" ht="30" hidden="false" customHeight="true" outlineLevel="0" collapsed="false">
      <c r="B14" s="15" t="s">
        <v>351</v>
      </c>
      <c r="C14" s="16" t="n">
        <f aca="false">SUM('2. After (Clean)'!F2:F46)</f>
        <v>262</v>
      </c>
      <c r="D14" s="17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2026-10-10T19:37:54Z</dcterms:created>
  <dc:creator>openpyxl</dc:creator>
  <dc:description/>
  <dc:language>en-US</dc:language>
  <cp:lastModifiedBy/>
  <dcterms:modified xsi:type="dcterms:W3CDTF">2026-10-10T19:37:54Z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