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oice Data" sheetId="1" state="visible" r:id="rId3"/>
    <sheet name="Accuracy Check" sheetId="2" state="visible" r:id="rId4"/>
    <sheet name="Source Invoic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<sst xmlns="http://schemas.openxmlformats.org/spreadsheetml/2006/main" count="71" uniqueCount="58">
  <si>
    <t xml:space="preserve">Invoice Data Entry – PDF / Scan to Excel</t>
  </si>
  <si>
    <t xml:space="preserve">Typed from the scanned invoice in the 'Source Invoice' sheet. Fictional supplier and figures – sample portfolio file.</t>
  </si>
  <si>
    <t xml:space="preserve">Supplier</t>
  </si>
  <si>
    <t xml:space="preserve">Al-Bayan Office Supplies</t>
  </si>
  <si>
    <t xml:space="preserve">Invoice No.</t>
  </si>
  <si>
    <t xml:space="preserve">INV-2026-0418</t>
  </si>
  <si>
    <t xml:space="preserve">Invoice date</t>
  </si>
  <si>
    <t xml:space="preserve">Customer</t>
  </si>
  <si>
    <t xml:space="preserve">Shelter Camps Admin Office</t>
  </si>
  <si>
    <t xml:space="preserve">Currency</t>
  </si>
  <si>
    <t xml:space="preserve">USD ($)</t>
  </si>
  <si>
    <t xml:space="preserve">#</t>
  </si>
  <si>
    <t xml:space="preserve">Description</t>
  </si>
  <si>
    <t xml:space="preserve">Unit</t>
  </si>
  <si>
    <t xml:space="preserve">Qty</t>
  </si>
  <si>
    <t xml:space="preserve">Unit Price ($)</t>
  </si>
  <si>
    <t xml:space="preserve">Amount ($)</t>
  </si>
  <si>
    <t xml:space="preserve">A4 Copy Paper 80gsm (500 sheets)</t>
  </si>
  <si>
    <t xml:space="preserve">Ream</t>
  </si>
  <si>
    <t xml:space="preserve">Blue Ballpoint Pens (box of 50)</t>
  </si>
  <si>
    <t xml:space="preserve">Box</t>
  </si>
  <si>
    <t xml:space="preserve">Spiral Notebook A5, 100 pages</t>
  </si>
  <si>
    <t xml:space="preserve">Piece</t>
  </si>
  <si>
    <t xml:space="preserve">Stapler, heavy duty</t>
  </si>
  <si>
    <t xml:space="preserve">Staples No. 24/6 (box of 1000)</t>
  </si>
  <si>
    <t xml:space="preserve">Box File, A4</t>
  </si>
  <si>
    <t xml:space="preserve">Printer Toner HP 85A (compatible)</t>
  </si>
  <si>
    <t xml:space="preserve">Whiteboard Markers (set of 4)</t>
  </si>
  <si>
    <t xml:space="preserve">Set</t>
  </si>
  <si>
    <t xml:space="preserve">Correction Tape</t>
  </si>
  <si>
    <t xml:space="preserve">Plastic Sheet Protectors (pack of 100)</t>
  </si>
  <si>
    <t xml:space="preserve">Pack</t>
  </si>
  <si>
    <t xml:space="preserve">Calculator, 12-digit</t>
  </si>
  <si>
    <t xml:space="preserve">Envelopes A4, brown (pack of 50)</t>
  </si>
  <si>
    <t xml:space="preserve">Sticky Notes 3x3 (pad of 100)</t>
  </si>
  <si>
    <t xml:space="preserve">Pad</t>
  </si>
  <si>
    <t xml:space="preserve">USB Flash Drive 32GB</t>
  </si>
  <si>
    <t xml:space="preserve">Desk Organizer, mesh</t>
  </si>
  <si>
    <t xml:space="preserve">Blue = values typed from the invoice; black = formulas.</t>
  </si>
  <si>
    <t xml:space="preserve">Subtotal</t>
  </si>
  <si>
    <t xml:space="preserve">Rates as printed on the invoice (Discount 5%, VAT 16%).</t>
  </si>
  <si>
    <t xml:space="preserve">Discount rate</t>
  </si>
  <si>
    <t xml:space="preserve">Discount</t>
  </si>
  <si>
    <t xml:space="preserve">Net</t>
  </si>
  <si>
    <t xml:space="preserve">VAT rate</t>
  </si>
  <si>
    <t xml:space="preserve">VAT</t>
  </si>
  <si>
    <t xml:space="preserve">TOTAL ($)</t>
  </si>
  <si>
    <t xml:space="preserve">Accuracy check – typed data vs. totals printed on the invoice</t>
  </si>
  <si>
    <t xml:space="preserve">Field</t>
  </si>
  <si>
    <t xml:space="preserve">Printed on invoice</t>
  </si>
  <si>
    <t xml:space="preserve">Calculated in Excel</t>
  </si>
  <si>
    <t xml:space="preserve">Difference</t>
  </si>
  <si>
    <t xml:space="preserve">Result</t>
  </si>
  <si>
    <t xml:space="preserve">TOTAL</t>
  </si>
  <si>
    <t xml:space="preserve">Number of lines</t>
  </si>
  <si>
    <t xml:space="preserve">Overall</t>
  </si>
  <si>
    <t xml:space="preserve">Printed values (blue) are copied from the invoice footer; calculated values (green) link to the 'Invoice Data' sheet.</t>
  </si>
  <si>
    <t xml:space="preserve">Source document (scanned invoice – fictional)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</si>
</sst>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-mmm\-yyyy"/>
    <numFmt numFmtId="166" formatCode="#,##0.00"/>
    <numFmt numFmtId="167" formatCode="0%"/>
    <numFmt numFmtId="168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9"/>
      <color rgb="FF5B6B7F"/>
      <name val="Arial"/>
      <family val="0"/>
      <charset val="1"/>
    </font>
    <font>
      <b val="true"/>
      <sz val="9"/>
      <color rgb="FF5B6B7F"/>
      <name val="Arial"/>
      <family val="0"/>
      <charset val="1"/>
    </font>
    <font>
      <b val="true"/>
      <sz val="10"/>
      <color rgb="FF1F3A5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b val="true"/>
      <sz val="14"/>
      <color rgb="FF1F3A5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b val="true"/>
      <sz val="11"/>
      <color rgb="FF1E6B4A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2A9D8F"/>
        <bgColor rgb="FF008080"/>
      </patternFill>
    </fill>
    <fill>
      <patternFill patternType="solid">
        <fgColor rgb="FFEEF3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2A9D8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ont>
        <name val="Arial"/>
        <charset val="1"/>
        <family val="0"/>
        <b val="1"/>
        <color rgb="FF1E6B4A"/>
      </font>
      <fill>
        <patternFill>
          <bgColor rgb="FFD1F2E4"/>
        </patternFill>
      </fill>
    </dxf>
    <dxf>
      <font>
        <name val="Arial"/>
        <charset val="1"/>
        <family val="0"/>
        <b val="1"/>
        <color rgb="FF9B1C1C"/>
      </font>
      <fill>
        <patternFill>
          <bgColor rgb="FFF8D7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6B4A"/>
      <rgbColor rgb="FFC0C0C0"/>
      <rgbColor rgb="FF808080"/>
      <rgbColor rgb="FF9999FF"/>
      <rgbColor rgb="FF993366"/>
      <rgbColor rgb="FFEEF3F8"/>
      <rgbColor rgb="FFCCFFFF"/>
      <rgbColor rgb="FF660066"/>
      <rgbColor rgb="FFFF8080"/>
      <rgbColor rgb="FF0066CC"/>
      <rgbColor rgb="FFD0D7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F2E4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5B6B7F"/>
      <rgbColor rgb="FF969696"/>
      <rgbColor rgb="FF1F3A5F"/>
      <rgbColor rgb="FF2A9D8F"/>
      <rgbColor rgb="FF003300"/>
      <rgbColor rgb="FF333300"/>
      <rgbColor rgb="FF9B1C1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</xdr:row>
      <xdr:rowOff>160920</xdr:rowOff>
    </xdr:from>
    <xdr:to>
      <xdr:col>10</xdr:col>
      <xdr:colOff>592200</xdr:colOff>
      <xdr:row>29</xdr:row>
      <xdr:rowOff>65160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611640" y="571680"/>
          <a:ext cx="6095520" cy="5047920"/>
        </a:xfrm>
        <a:prstGeom prst="rect">
          <a:avLst/>
        </a:prstGeom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1" name="InvoiceLines" displayName="InvoiceLines" ref="B11:G26" headerRowCount="1" totalsRowCount="0" totalsRowShown="0">
  <autoFilter ref="B11:G26"/>
  <tableColumns count="6">
    <tableColumn id="1" name="#"/>
    <tableColumn id="2" name="Description"/>
    <tableColumn id="3" name="Unit"/>
    <tableColumn id="4" name="Qty"/>
    <tableColumn id="5" name="Unit Price ($)"/>
    <tableColumn id="6" name="Amount ($)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G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3"/>
    <col collapsed="false" customWidth="true" hidden="false" outlineLevel="0" max="3" min="3" style="0" width="42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7" min="6" style="0" width="14"/>
    <col collapsed="false" customWidth="true" hidden="false" outlineLevel="0" max="8" min="8" style="0" width="2"/>
  </cols>
  <sheetData>
    <row r="2" customFormat="false" ht="37.5" hidden="false" customHeight="true" outlineLevel="0" collapsed="false">
      <c r="B2" s="1" t="s">
        <v>0</v>
      </c>
      <c r="C2" s="1"/>
      <c r="D2" s="1"/>
      <c r="E2" s="1"/>
      <c r="F2" s="1"/>
      <c r="G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</row>
    <row r="5" customFormat="false" ht="15" hidden="false" customHeight="false" outlineLevel="0" collapsed="false">
      <c r="B5" s="3" t="s">
        <v>2</v>
      </c>
      <c r="C5" s="4" t="s">
        <v>3</v>
      </c>
    </row>
    <row r="6" customFormat="false" ht="15" hidden="false" customHeight="false" outlineLevel="0" collapsed="false">
      <c r="B6" s="3" t="s">
        <v>4</v>
      </c>
      <c r="C6" s="4" t="s">
        <v>5</v>
      </c>
    </row>
    <row r="7" customFormat="false" ht="15" hidden="false" customHeight="false" outlineLevel="0" collapsed="false">
      <c r="B7" s="3" t="s">
        <v>6</v>
      </c>
      <c r="C7" s="5" t="n">
        <v>46279</v>
      </c>
    </row>
    <row r="8" customFormat="false" ht="15" hidden="false" customHeight="false" outlineLevel="0" collapsed="false">
      <c r="B8" s="3" t="s">
        <v>7</v>
      </c>
      <c r="C8" s="4" t="s">
        <v>8</v>
      </c>
    </row>
    <row r="9" customFormat="false" ht="15" hidden="false" customHeight="false" outlineLevel="0" collapsed="false">
      <c r="B9" s="3" t="s">
        <v>9</v>
      </c>
      <c r="C9" s="4" t="s">
        <v>10</v>
      </c>
    </row>
    <row r="11" customFormat="false" ht="15" hidden="false" customHeight="false" outlineLevel="0" collapsed="false">
      <c r="B11" s="6" t="s">
        <v>11</v>
      </c>
      <c r="C11" s="6" t="s">
        <v>12</v>
      </c>
      <c r="D11" s="6" t="s">
        <v>13</v>
      </c>
      <c r="E11" s="6" t="s">
        <v>14</v>
      </c>
      <c r="F11" s="6" t="s">
        <v>15</v>
      </c>
      <c r="G11" s="6" t="s">
        <v>16</v>
      </c>
    </row>
    <row r="12" customFormat="false" ht="15" hidden="false" customHeight="false" outlineLevel="0" collapsed="false">
      <c r="B12" s="7" t="n">
        <v>1</v>
      </c>
      <c r="C12" s="8" t="s">
        <v>17</v>
      </c>
      <c r="D12" s="7" t="s">
        <v>18</v>
      </c>
      <c r="E12" s="9" t="n">
        <v>40</v>
      </c>
      <c r="F12" s="10" t="n">
        <v>4.25</v>
      </c>
      <c r="G12" s="11" t="n">
        <f aca="false">E12*F12</f>
        <v>170</v>
      </c>
    </row>
    <row r="13" customFormat="false" ht="15" hidden="false" customHeight="false" outlineLevel="0" collapsed="false">
      <c r="B13" s="7" t="n">
        <v>2</v>
      </c>
      <c r="C13" s="8" t="s">
        <v>19</v>
      </c>
      <c r="D13" s="7" t="s">
        <v>20</v>
      </c>
      <c r="E13" s="9" t="n">
        <v>6</v>
      </c>
      <c r="F13" s="10" t="n">
        <v>7.8</v>
      </c>
      <c r="G13" s="11" t="n">
        <f aca="false">E13*F13</f>
        <v>46.8</v>
      </c>
    </row>
    <row r="14" customFormat="false" ht="15" hidden="false" customHeight="false" outlineLevel="0" collapsed="false">
      <c r="B14" s="7" t="n">
        <v>3</v>
      </c>
      <c r="C14" s="8" t="s">
        <v>21</v>
      </c>
      <c r="D14" s="7" t="s">
        <v>22</v>
      </c>
      <c r="E14" s="9" t="n">
        <v>120</v>
      </c>
      <c r="F14" s="10" t="n">
        <v>0.95</v>
      </c>
      <c r="G14" s="11" t="n">
        <f aca="false">E14*F14</f>
        <v>114</v>
      </c>
    </row>
    <row r="15" customFormat="false" ht="15" hidden="false" customHeight="false" outlineLevel="0" collapsed="false">
      <c r="B15" s="7" t="n">
        <v>4</v>
      </c>
      <c r="C15" s="8" t="s">
        <v>23</v>
      </c>
      <c r="D15" s="7" t="s">
        <v>22</v>
      </c>
      <c r="E15" s="9" t="n">
        <v>8</v>
      </c>
      <c r="F15" s="10" t="n">
        <v>6.4</v>
      </c>
      <c r="G15" s="11" t="n">
        <f aca="false">E15*F15</f>
        <v>51.2</v>
      </c>
    </row>
    <row r="16" customFormat="false" ht="15" hidden="false" customHeight="false" outlineLevel="0" collapsed="false">
      <c r="B16" s="7" t="n">
        <v>5</v>
      </c>
      <c r="C16" s="8" t="s">
        <v>24</v>
      </c>
      <c r="D16" s="7" t="s">
        <v>20</v>
      </c>
      <c r="E16" s="9" t="n">
        <v>15</v>
      </c>
      <c r="F16" s="10" t="n">
        <v>1.2</v>
      </c>
      <c r="G16" s="11" t="n">
        <f aca="false">E16*F16</f>
        <v>18</v>
      </c>
    </row>
    <row r="17" customFormat="false" ht="15" hidden="false" customHeight="false" outlineLevel="0" collapsed="false">
      <c r="B17" s="7" t="n">
        <v>6</v>
      </c>
      <c r="C17" s="8" t="s">
        <v>25</v>
      </c>
      <c r="D17" s="7" t="s">
        <v>22</v>
      </c>
      <c r="E17" s="9" t="n">
        <v>30</v>
      </c>
      <c r="F17" s="10" t="n">
        <v>2.35</v>
      </c>
      <c r="G17" s="11" t="n">
        <f aca="false">E17*F17</f>
        <v>70.5</v>
      </c>
    </row>
    <row r="18" customFormat="false" ht="15" hidden="false" customHeight="false" outlineLevel="0" collapsed="false">
      <c r="B18" s="7" t="n">
        <v>7</v>
      </c>
      <c r="C18" s="8" t="s">
        <v>26</v>
      </c>
      <c r="D18" s="7" t="s">
        <v>22</v>
      </c>
      <c r="E18" s="9" t="n">
        <v>5</v>
      </c>
      <c r="F18" s="10" t="n">
        <v>24.9</v>
      </c>
      <c r="G18" s="11" t="n">
        <f aca="false">E18*F18</f>
        <v>124.5</v>
      </c>
    </row>
    <row r="19" customFormat="false" ht="15" hidden="false" customHeight="false" outlineLevel="0" collapsed="false">
      <c r="B19" s="7" t="n">
        <v>8</v>
      </c>
      <c r="C19" s="8" t="s">
        <v>27</v>
      </c>
      <c r="D19" s="7" t="s">
        <v>28</v>
      </c>
      <c r="E19" s="9" t="n">
        <v>12</v>
      </c>
      <c r="F19" s="10" t="n">
        <v>3.6</v>
      </c>
      <c r="G19" s="11" t="n">
        <f aca="false">E19*F19</f>
        <v>43.2</v>
      </c>
    </row>
    <row r="20" customFormat="false" ht="15" hidden="false" customHeight="false" outlineLevel="0" collapsed="false">
      <c r="B20" s="7" t="n">
        <v>9</v>
      </c>
      <c r="C20" s="8" t="s">
        <v>29</v>
      </c>
      <c r="D20" s="7" t="s">
        <v>22</v>
      </c>
      <c r="E20" s="9" t="n">
        <v>25</v>
      </c>
      <c r="F20" s="10" t="n">
        <v>1.1</v>
      </c>
      <c r="G20" s="11" t="n">
        <f aca="false">E20*F20</f>
        <v>27.5</v>
      </c>
    </row>
    <row r="21" customFormat="false" ht="15" hidden="false" customHeight="false" outlineLevel="0" collapsed="false">
      <c r="B21" s="7" t="n">
        <v>10</v>
      </c>
      <c r="C21" s="8" t="s">
        <v>30</v>
      </c>
      <c r="D21" s="7" t="s">
        <v>31</v>
      </c>
      <c r="E21" s="9" t="n">
        <v>10</v>
      </c>
      <c r="F21" s="10" t="n">
        <v>4.75</v>
      </c>
      <c r="G21" s="11" t="n">
        <f aca="false">E21*F21</f>
        <v>47.5</v>
      </c>
    </row>
    <row r="22" customFormat="false" ht="15" hidden="false" customHeight="false" outlineLevel="0" collapsed="false">
      <c r="B22" s="7" t="n">
        <v>11</v>
      </c>
      <c r="C22" s="8" t="s">
        <v>32</v>
      </c>
      <c r="D22" s="7" t="s">
        <v>22</v>
      </c>
      <c r="E22" s="9" t="n">
        <v>6</v>
      </c>
      <c r="F22" s="10" t="n">
        <v>8.5</v>
      </c>
      <c r="G22" s="11" t="n">
        <f aca="false">E22*F22</f>
        <v>51</v>
      </c>
    </row>
    <row r="23" customFormat="false" ht="15" hidden="false" customHeight="false" outlineLevel="0" collapsed="false">
      <c r="B23" s="7" t="n">
        <v>12</v>
      </c>
      <c r="C23" s="8" t="s">
        <v>33</v>
      </c>
      <c r="D23" s="7" t="s">
        <v>31</v>
      </c>
      <c r="E23" s="9" t="n">
        <v>8</v>
      </c>
      <c r="F23" s="10" t="n">
        <v>5.3</v>
      </c>
      <c r="G23" s="11" t="n">
        <f aca="false">E23*F23</f>
        <v>42.4</v>
      </c>
    </row>
    <row r="24" customFormat="false" ht="15" hidden="false" customHeight="false" outlineLevel="0" collapsed="false">
      <c r="B24" s="7" t="n">
        <v>13</v>
      </c>
      <c r="C24" s="8" t="s">
        <v>34</v>
      </c>
      <c r="D24" s="7" t="s">
        <v>35</v>
      </c>
      <c r="E24" s="9" t="n">
        <v>40</v>
      </c>
      <c r="F24" s="10" t="n">
        <v>0.85</v>
      </c>
      <c r="G24" s="11" t="n">
        <f aca="false">E24*F24</f>
        <v>34</v>
      </c>
    </row>
    <row r="25" customFormat="false" ht="15" hidden="false" customHeight="false" outlineLevel="0" collapsed="false">
      <c r="B25" s="7" t="n">
        <v>14</v>
      </c>
      <c r="C25" s="8" t="s">
        <v>36</v>
      </c>
      <c r="D25" s="7" t="s">
        <v>22</v>
      </c>
      <c r="E25" s="9" t="n">
        <v>10</v>
      </c>
      <c r="F25" s="10" t="n">
        <v>6.9</v>
      </c>
      <c r="G25" s="11" t="n">
        <f aca="false">E25*F25</f>
        <v>69</v>
      </c>
    </row>
    <row r="26" customFormat="false" ht="15" hidden="false" customHeight="false" outlineLevel="0" collapsed="false">
      <c r="B26" s="7" t="n">
        <v>15</v>
      </c>
      <c r="C26" s="8" t="s">
        <v>37</v>
      </c>
      <c r="D26" s="7" t="s">
        <v>22</v>
      </c>
      <c r="E26" s="9" t="n">
        <v>4</v>
      </c>
      <c r="F26" s="10" t="n">
        <v>9.75</v>
      </c>
      <c r="G26" s="11" t="n">
        <f aca="false">E26*F26</f>
        <v>39</v>
      </c>
    </row>
    <row r="28" customFormat="false" ht="15" hidden="false" customHeight="false" outlineLevel="0" collapsed="false">
      <c r="C28" s="12" t="s">
        <v>38</v>
      </c>
      <c r="F28" s="13" t="s">
        <v>39</v>
      </c>
      <c r="G28" s="11" t="n">
        <f aca="false">SUM(G12:G26)</f>
        <v>948.6</v>
      </c>
    </row>
    <row r="29" customFormat="false" ht="15" hidden="false" customHeight="false" outlineLevel="0" collapsed="false">
      <c r="C29" s="12" t="s">
        <v>40</v>
      </c>
      <c r="F29" s="13" t="s">
        <v>41</v>
      </c>
      <c r="G29" s="14" t="n">
        <v>0.05</v>
      </c>
    </row>
    <row r="30" customFormat="false" ht="15" hidden="false" customHeight="false" outlineLevel="0" collapsed="false">
      <c r="F30" s="13" t="s">
        <v>42</v>
      </c>
      <c r="G30" s="11" t="n">
        <f aca="false">-ROUND(G28*G29,2)</f>
        <v>-47.43</v>
      </c>
    </row>
    <row r="31" customFormat="false" ht="15" hidden="false" customHeight="false" outlineLevel="0" collapsed="false">
      <c r="F31" s="13" t="s">
        <v>43</v>
      </c>
      <c r="G31" s="11" t="n">
        <f aca="false">G28+G30</f>
        <v>901.17</v>
      </c>
    </row>
    <row r="32" customFormat="false" ht="15" hidden="false" customHeight="false" outlineLevel="0" collapsed="false">
      <c r="F32" s="13" t="s">
        <v>44</v>
      </c>
      <c r="G32" s="14" t="n">
        <v>0.16</v>
      </c>
    </row>
    <row r="33" customFormat="false" ht="15" hidden="false" customHeight="false" outlineLevel="0" collapsed="false">
      <c r="F33" s="13" t="s">
        <v>45</v>
      </c>
      <c r="G33" s="11" t="n">
        <f aca="false">ROUND(G31*G32,2)</f>
        <v>144.19</v>
      </c>
    </row>
    <row r="34" customFormat="false" ht="15" hidden="false" customHeight="false" outlineLevel="0" collapsed="false">
      <c r="F34" s="15" t="s">
        <v>46</v>
      </c>
      <c r="G34" s="16" t="n">
        <f aca="false">G31+G33</f>
        <v>1045.36</v>
      </c>
    </row>
  </sheetData>
  <mergeCells count="2">
    <mergeCell ref="B2:G2"/>
    <mergeCell ref="B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4" min="3" style="0" width="21"/>
    <col collapsed="false" customWidth="true" hidden="false" outlineLevel="0" max="5" min="5" style="0" width="14"/>
    <col collapsed="false" customWidth="true" hidden="false" outlineLevel="0" max="6" min="6" style="0" width="16"/>
  </cols>
  <sheetData>
    <row r="2" customFormat="false" ht="17.35" hidden="false" customHeight="false" outlineLevel="0" collapsed="false">
      <c r="B2" s="17" t="s">
        <v>47</v>
      </c>
    </row>
    <row r="4" customFormat="false" ht="15" hidden="false" customHeight="false" outlineLevel="0" collapsed="false">
      <c r="B4" s="18" t="s">
        <v>48</v>
      </c>
      <c r="C4" s="18" t="s">
        <v>49</v>
      </c>
      <c r="D4" s="18" t="s">
        <v>50</v>
      </c>
      <c r="E4" s="18" t="s">
        <v>51</v>
      </c>
      <c r="F4" s="18" t="s">
        <v>52</v>
      </c>
    </row>
    <row r="5" customFormat="false" ht="15" hidden="false" customHeight="false" outlineLevel="0" collapsed="false">
      <c r="B5" s="8" t="s">
        <v>39</v>
      </c>
      <c r="C5" s="10" t="n">
        <v>948.6</v>
      </c>
      <c r="D5" s="19" t="n">
        <f aca="false">'Invoice Data'!G28</f>
        <v>948.6</v>
      </c>
      <c r="E5" s="11" t="n">
        <f aca="false">ROUND(D5-C5,2)</f>
        <v>0</v>
      </c>
      <c r="F5" s="7" t="str">
        <f aca="false">IF(ABS(E5)&lt;0.01,"Match","Check")</f>
        <v>Match</v>
      </c>
    </row>
    <row r="6" customFormat="false" ht="15" hidden="false" customHeight="false" outlineLevel="0" collapsed="false">
      <c r="B6" s="8" t="s">
        <v>42</v>
      </c>
      <c r="C6" s="10" t="n">
        <v>-47.43</v>
      </c>
      <c r="D6" s="19" t="n">
        <f aca="false">'Invoice Data'!G30</f>
        <v>-47.43</v>
      </c>
      <c r="E6" s="11" t="n">
        <f aca="false">ROUND(D6-C6,2)</f>
        <v>0</v>
      </c>
      <c r="F6" s="7" t="str">
        <f aca="false">IF(ABS(E6)&lt;0.01,"Match","Check")</f>
        <v>Match</v>
      </c>
    </row>
    <row r="7" customFormat="false" ht="15" hidden="false" customHeight="false" outlineLevel="0" collapsed="false">
      <c r="B7" s="8" t="s">
        <v>43</v>
      </c>
      <c r="C7" s="10" t="n">
        <v>901.17</v>
      </c>
      <c r="D7" s="19" t="n">
        <f aca="false">'Invoice Data'!G31</f>
        <v>901.17</v>
      </c>
      <c r="E7" s="11" t="n">
        <f aca="false">ROUND(D7-C7,2)</f>
        <v>0</v>
      </c>
      <c r="F7" s="7" t="str">
        <f aca="false">IF(ABS(E7)&lt;0.01,"Match","Check")</f>
        <v>Match</v>
      </c>
    </row>
    <row r="8" customFormat="false" ht="15" hidden="false" customHeight="false" outlineLevel="0" collapsed="false">
      <c r="B8" s="8" t="s">
        <v>45</v>
      </c>
      <c r="C8" s="10" t="n">
        <v>144.19</v>
      </c>
      <c r="D8" s="19" t="n">
        <f aca="false">'Invoice Data'!G33</f>
        <v>144.19</v>
      </c>
      <c r="E8" s="11" t="n">
        <f aca="false">ROUND(D8-C8,2)</f>
        <v>0</v>
      </c>
      <c r="F8" s="7" t="str">
        <f aca="false">IF(ABS(E8)&lt;0.01,"Match","Check")</f>
        <v>Match</v>
      </c>
    </row>
    <row r="9" customFormat="false" ht="15" hidden="false" customHeight="false" outlineLevel="0" collapsed="false">
      <c r="B9" s="8" t="s">
        <v>53</v>
      </c>
      <c r="C9" s="10" t="n">
        <v>1045.36</v>
      </c>
      <c r="D9" s="19" t="n">
        <f aca="false">'Invoice Data'!G34</f>
        <v>1045.36</v>
      </c>
      <c r="E9" s="11" t="n">
        <f aca="false">ROUND(D9-C9,2)</f>
        <v>0</v>
      </c>
      <c r="F9" s="7" t="str">
        <f aca="false">IF(ABS(E9)&lt;0.01,"Match","Check")</f>
        <v>Match</v>
      </c>
    </row>
    <row r="10" customFormat="false" ht="15" hidden="false" customHeight="false" outlineLevel="0" collapsed="false">
      <c r="B10" s="8" t="s">
        <v>54</v>
      </c>
      <c r="C10" s="9" t="n">
        <v>15</v>
      </c>
      <c r="D10" s="20" t="n">
        <f aca="false">COUNTA('Invoice Data'!C12:C26)</f>
        <v>15</v>
      </c>
      <c r="E10" s="7" t="n">
        <f aca="false">ROUND(D10-C10,2)</f>
        <v>0</v>
      </c>
      <c r="F10" s="7" t="str">
        <f aca="false">IF(ABS(E10)&lt;0.01,"Match","Check")</f>
        <v>Match</v>
      </c>
    </row>
    <row r="12" customFormat="false" ht="15" hidden="false" customHeight="false" outlineLevel="0" collapsed="false">
      <c r="B12" s="21" t="s">
        <v>55</v>
      </c>
      <c r="C12" s="22" t="str">
        <f aca="false">IF(COUNTIF(F5:F10,"Match")=6,"All 6 checks match – 100% accurate","Review needed")</f>
        <v>All 6 checks match – 100% accurate</v>
      </c>
    </row>
    <row r="14" customFormat="false" ht="15" hidden="false" customHeight="false" outlineLevel="0" collapsed="false">
      <c r="B14" s="12" t="s">
        <v>56</v>
      </c>
    </row>
  </sheetData>
  <conditionalFormatting sqref="F5:F10">
    <cfRule type="cellIs" priority="2" operator="equal" aboveAverage="0" equalAverage="0" bottom="0" percent="0" rank="0" text="" dxfId="5">
      <formula>"Match"</formula>
    </cfRule>
    <cfRule type="cellIs" priority="3" operator="equal" aboveAverage="0" equalAverage="0" bottom="0" percent="0" rank="0" text="" dxfId="6">
      <formula>"Check"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2" customFormat="false" ht="17.35" hidden="false" customHeight="false" outlineLevel="0" collapsed="false">
      <c r="B2" s="17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2026-10-10T19:41:13Z</dcterms:created>
  <dc:creator>openpyxl</dc:creator>
  <dc:description/>
  <dc:language>en-US</dc:language>
  <cp:lastModifiedBy/>
  <dcterms:modified xsi:type="dcterms:W3CDTF">2026-10-10T19:41:13Z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